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ótulos" sheetId="1" state="visible" r:id="rId3"/>
    <sheet name="Versões para Orçamento" sheetId="2" state="visible" r:id="rId4"/>
    <sheet name="Por Fragrância" sheetId="3" state="visible" r:id="rId5"/>
    <sheet name="Resumo por Tipo" sheetId="4" state="visible" r:id="rId6"/>
    <sheet name="B2B Antes x Depo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<sst xmlns="http://schemas.openxmlformats.org/spreadsheetml/2006/main" count="2985" uniqueCount="135">
  <si>
    <t xml:space="preserve">Necessidade de rótulos – consolidado</t>
  </si>
  <si>
    <t xml:space="preserve">B2C = Loja (aba Plano de Produção). B2B = remessas de refil do relatório smartjvg (05/01/2026 a 07/10/2026), por fragrância × concentração × volume. Amarelo = tamanho a definir.</t>
  </si>
  <si>
    <t xml:space="preserve">Fragrância</t>
  </si>
  <si>
    <t xml:space="preserve">Concentração</t>
  </si>
  <si>
    <t xml:space="preserve">Volume (ml)</t>
  </si>
  <si>
    <t xml:space="preserve">Frasco</t>
  </si>
  <si>
    <t xml:space="preserve">Formato</t>
  </si>
  <si>
    <t xml:space="preserve">B2B ou B2C</t>
  </si>
  <si>
    <t xml:space="preserve">Quantidades</t>
  </si>
  <si>
    <t xml:space="preserve">Tipo Rotulo</t>
  </si>
  <si>
    <t xml:space="preserve">Tamanho</t>
  </si>
  <si>
    <t xml:space="preserve">Acqua di Gio</t>
  </si>
  <si>
    <t xml:space="preserve">Aromatizador de Ambientes</t>
  </si>
  <si>
    <t xml:space="preserve">Pet cristal / válvula spray prata 18/410</t>
  </si>
  <si>
    <t xml:space="preserve">Mini Aromatizador</t>
  </si>
  <si>
    <t xml:space="preserve">B2C</t>
  </si>
  <si>
    <t xml:space="preserve">Transparente</t>
  </si>
  <si>
    <t xml:space="preserve">6,5 x 5 cm</t>
  </si>
  <si>
    <t xml:space="preserve">Perfume para Ambientes</t>
  </si>
  <si>
    <t xml:space="preserve">Vidro square cristal / tampa difusora prata 28/410 + batoque + varetas</t>
  </si>
  <si>
    <t xml:space="preserve">Perfume de Ambientes – Kit Varetas</t>
  </si>
  <si>
    <t xml:space="preserve">5 x 10 cm (frente e verso)</t>
  </si>
  <si>
    <t xml:space="preserve">Pet cilindrico ambar / tampa lacre</t>
  </si>
  <si>
    <t xml:space="preserve">Perfume de Ambientes – Refil PET</t>
  </si>
  <si>
    <t xml:space="preserve">Vinil ou Bopp</t>
  </si>
  <si>
    <t xml:space="preserve">18 x 6,5 cm</t>
  </si>
  <si>
    <t xml:space="preserve">Vidro square cristal / válvula spray prata 28/410</t>
  </si>
  <si>
    <t xml:space="preserve">Perfume de Ambientes – Válvula Spray</t>
  </si>
  <si>
    <t xml:space="preserve">Alecrim</t>
  </si>
  <si>
    <t xml:space="preserve">Fragrância Concentrada</t>
  </si>
  <si>
    <t xml:space="preserve">B2B</t>
  </si>
  <si>
    <t xml:space="preserve">22 x 8 cm</t>
  </si>
  <si>
    <t xml:space="preserve">28 x 10,5 cm</t>
  </si>
  <si>
    <t xml:space="preserve">Fragrância Ultra Concentrada</t>
  </si>
  <si>
    <t xml:space="preserve">13 x 5 cm</t>
  </si>
  <si>
    <t xml:space="preserve">Aromatizador (Refil)</t>
  </si>
  <si>
    <t xml:space="preserve">Fragrância Concentrada (Refil Equipamento)</t>
  </si>
  <si>
    <t xml:space="preserve">Alecrim Sence</t>
  </si>
  <si>
    <t xml:space="preserve">Bamboo</t>
  </si>
  <si>
    <t xml:space="preserve">Bergamota</t>
  </si>
  <si>
    <t xml:space="preserve">Bloom Garden</t>
  </si>
  <si>
    <t xml:space="preserve">Capim Limão</t>
  </si>
  <si>
    <t xml:space="preserve">Cashmere</t>
  </si>
  <si>
    <t xml:space="preserve">Chá Branco</t>
  </si>
  <si>
    <t xml:space="preserve">Citric Bath</t>
  </si>
  <si>
    <t xml:space="preserve">Citrus Flowers</t>
  </si>
  <si>
    <t xml:space="preserve">Cookies &amp; Coffee</t>
  </si>
  <si>
    <t xml:space="preserve">Delina</t>
  </si>
  <si>
    <t xml:space="preserve">Doce Alecrim</t>
  </si>
  <si>
    <t xml:space="preserve">Doce Figo</t>
  </si>
  <si>
    <t xml:space="preserve">Doce Vanilla</t>
  </si>
  <si>
    <t xml:space="preserve">Doçura Açucarada</t>
  </si>
  <si>
    <t xml:space="preserve">Fig Woody</t>
  </si>
  <si>
    <t xml:space="preserve">Flor de Cerejeira</t>
  </si>
  <si>
    <t xml:space="preserve">Flor de Figo</t>
  </si>
  <si>
    <t xml:space="preserve">Flor de Madeira</t>
  </si>
  <si>
    <t xml:space="preserve">Floresta Fresca</t>
  </si>
  <si>
    <t xml:space="preserve">Herbal Fresh</t>
  </si>
  <si>
    <t xml:space="preserve">ID Care Plus</t>
  </si>
  <si>
    <t xml:space="preserve">ID Dubai</t>
  </si>
  <si>
    <t xml:space="preserve">ID Grand Mercure</t>
  </si>
  <si>
    <t xml:space="preserve">ID Ibis</t>
  </si>
  <si>
    <t xml:space="preserve">ID Mercure</t>
  </si>
  <si>
    <t xml:space="preserve">ID Night</t>
  </si>
  <si>
    <t xml:space="preserve">ID Novotel</t>
  </si>
  <si>
    <t xml:space="preserve">ID Pullman</t>
  </si>
  <si>
    <t xml:space="preserve">Imperial Essence</t>
  </si>
  <si>
    <t xml:space="preserve">Imperio</t>
  </si>
  <si>
    <t xml:space="preserve">Lake</t>
  </si>
  <si>
    <t xml:space="preserve">Lavanda</t>
  </si>
  <si>
    <t xml:space="preserve">Light Blue</t>
  </si>
  <si>
    <t xml:space="preserve">Luz</t>
  </si>
  <si>
    <t xml:space="preserve">Madeiras Nobres</t>
  </si>
  <si>
    <t xml:space="preserve">Nature</t>
  </si>
  <si>
    <t xml:space="preserve">Nature Block</t>
  </si>
  <si>
    <t xml:space="preserve">NeutralizaOdor</t>
  </si>
  <si>
    <t xml:space="preserve">NeutralizaOdor (Gatilho)</t>
  </si>
  <si>
    <t xml:space="preserve">OSK</t>
  </si>
  <si>
    <t xml:space="preserve">Pear &amp;Fressia</t>
  </si>
  <si>
    <t xml:space="preserve">Pimenta Rosa e Madeiras Nobres</t>
  </si>
  <si>
    <t xml:space="preserve">Pomegranate</t>
  </si>
  <si>
    <t xml:space="preserve">Savage</t>
  </si>
  <si>
    <t xml:space="preserve">Siciliano</t>
  </si>
  <si>
    <t xml:space="preserve">Silver</t>
  </si>
  <si>
    <t xml:space="preserve">Sweet</t>
  </si>
  <si>
    <t xml:space="preserve">Tobacco</t>
  </si>
  <si>
    <t xml:space="preserve">Tobacco Vanille</t>
  </si>
  <si>
    <t xml:space="preserve">Truss</t>
  </si>
  <si>
    <t xml:space="preserve">Vanilla e Laranja</t>
  </si>
  <si>
    <t xml:space="preserve">Verveine</t>
  </si>
  <si>
    <t xml:space="preserve">Verveine de Provence</t>
  </si>
  <si>
    <t xml:space="preserve">Wood Sage</t>
  </si>
  <si>
    <t xml:space="preserve">Total (filtrado)</t>
  </si>
  <si>
    <t xml:space="preserve">Total B2C</t>
  </si>
  <si>
    <t xml:space="preserve">Total B2B</t>
  </si>
  <si>
    <t xml:space="preserve">Versões de rótulo para orçamento – por material, tamanho e canal</t>
  </si>
  <si>
    <t xml:space="preserve">Versão = arte única (fragrância × concentração × volume) no mesmo material e tamanho. Fórmulas sobre as abas Por Fragrância e Rótulos.</t>
  </si>
  <si>
    <t xml:space="preserve">Material / tipo</t>
  </si>
  <si>
    <t xml:space="preserve">Canal</t>
  </si>
  <si>
    <t xml:space="preserve">Nº de versões (artes)</t>
  </si>
  <si>
    <t xml:space="preserve">Qtd. total de rótulos</t>
  </si>
  <si>
    <t xml:space="preserve">Menor tiragem por versão</t>
  </si>
  <si>
    <t xml:space="preserve">Maior tiragem por versão</t>
  </si>
  <si>
    <t xml:space="preserve">Média por versão</t>
  </si>
  <si>
    <t xml:space="preserve">Nº versões se separar formato e canal</t>
  </si>
  <si>
    <t xml:space="preserve">B2B e B2C</t>
  </si>
  <si>
    <t xml:space="preserve">A definir</t>
  </si>
  <si>
    <t xml:space="preserve">Total</t>
  </si>
  <si>
    <t xml:space="preserve">Resumo por material e tamanho (todos os canais)</t>
  </si>
  <si>
    <t xml:space="preserve">"Nº versões se separar formato e canal": conta cada linha da aba Rótulos como arte própria (ex.: Válvula Spray e Kit Varetas com artes diferentes; mesmo rótulo B2B e B2C com artes diferentes). Linhas "B2B e B2C" mostram "-" nessa coluna porque já estão contadas nas linhas B2B e B2C.</t>
  </si>
  <si>
    <t xml:space="preserve">Rótulo 5 x 10 cm (frente e verso): quantidade = nº de frascos; se forem 2 rótulos por frasco, dobrar no orçamento.</t>
  </si>
  <si>
    <t xml:space="preserve">Quantidades por fragrância × concentração × volume</t>
  </si>
  <si>
    <t xml:space="preserve">Soma linhas com mesma fragrância, concentração, volume, tipo e tamanho de rótulo. Fórmulas sobre a aba Rótulos.</t>
  </si>
  <si>
    <t xml:space="preserve">Formatos agrupados</t>
  </si>
  <si>
    <t xml:space="preserve">Qtd. B2C</t>
  </si>
  <si>
    <t xml:space="preserve">Qtd. B2B</t>
  </si>
  <si>
    <t xml:space="preserve">Quantidade total</t>
  </si>
  <si>
    <t xml:space="preserve">Perfume de Ambientes – Kit Varetas + Perfume de Ambientes – Válvula Spray</t>
  </si>
  <si>
    <t xml:space="preserve">Perfume para Ambientes + Perfume de Ambientes – Refil PET</t>
  </si>
  <si>
    <t xml:space="preserve">Aromatizador de Ambientes + Aromatizador (Refil)</t>
  </si>
  <si>
    <t xml:space="preserve">Amarelo = mesmo rótulo usado no B2C e no B2B.</t>
  </si>
  <si>
    <t xml:space="preserve">Quantidade de rótulos por tipo, volume e tamanho</t>
  </si>
  <si>
    <t xml:space="preserve">Fórmulas sobre a aba Rótulos. Tamanho vazio = "A definir".</t>
  </si>
  <si>
    <t xml:space="preserve">Tipo de rótulo</t>
  </si>
  <si>
    <t xml:space="preserve">Nº linhas</t>
  </si>
  <si>
    <t xml:space="preserve">Por tamanho (todos os tipos)</t>
  </si>
  <si>
    <t xml:space="preserve">B2B – quantidade anterior (Controle de Rótulos) × nova (relatório de remessas)</t>
  </si>
  <si>
    <t xml:space="preserve">Anterior = aba B2B - Volumes; nova = soma da coluna Qtd do relatório smartjvg.</t>
  </si>
  <si>
    <t xml:space="preserve">Qtd. anterior</t>
  </si>
  <si>
    <t xml:space="preserve">Qtd. nova</t>
  </si>
  <si>
    <t xml:space="preserve">Diferença</t>
  </si>
  <si>
    <t xml:space="preserve">Candy</t>
  </si>
  <si>
    <t xml:space="preserve">Essence</t>
  </si>
  <si>
    <t xml:space="preserve">Flor De Madeira</t>
  </si>
  <si>
    <t xml:space="preserve">Não informada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</si>
</sst>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-#,##0;\-"/>
    <numFmt numFmtId="167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2BAntesDepois" displayName="B2BAntesDepois" ref="A4:F129" headerRowCount="1" totalsRowCount="0" totalsRowShown="0">
  <autoFilter ref="A4:F129"/>
  <tableColumns count="6">
    <tableColumn id="1" name="Fragrância"/>
    <tableColumn id="2" name="Concentração"/>
    <tableColumn id="3" name="Volume (ml)"/>
    <tableColumn id="4" name="Qtd. anterior"/>
    <tableColumn id="5" name="Qtd. nova"/>
    <tableColumn id="6" name="Diferença"/>
  </tableColumns>
</table>
</file>

<file path=xl/tables/table2.xml><?xml version="1.0" encoding="utf-8"?>
<table xmlns="http://schemas.openxmlformats.org/spreadsheetml/2006/main" id="2" name="PorFragrancia" displayName="PorFragrancia" ref="A4:J192" headerRowCount="1" totalsRowCount="0" totalsRowShown="0">
  <autoFilter ref="A4:J192"/>
  <tableColumns count="10">
    <tableColumn id="1" name="Fragrância"/>
    <tableColumn id="2" name="Concentração"/>
    <tableColumn id="3" name="Volume (ml)"/>
    <tableColumn id="4" name="Tipo Rotulo"/>
    <tableColumn id="5" name="Tamanho"/>
    <tableColumn id="6" name="Formatos agrupados"/>
    <tableColumn id="7" name="Canal"/>
    <tableColumn id="8" name="Qtd. B2C"/>
    <tableColumn id="9" name="Qtd. B2B"/>
    <tableColumn id="10" name="Quantidade total"/>
  </tableColumns>
</table>
</file>

<file path=xl/tables/table3.xml><?xml version="1.0" encoding="utf-8"?>
<table xmlns="http://schemas.openxmlformats.org/spreadsheetml/2006/main" id="3" name="Rotulos" displayName="Rotulos" ref="A4:I212" headerRowCount="1" totalsRowCount="0" totalsRowShown="0">
  <autoFilter ref="A4:I212"/>
  <tableColumns count="9">
    <tableColumn id="1" name="Fragrância"/>
    <tableColumn id="2" name="Concentração"/>
    <tableColumn id="3" name="Volume (ml)"/>
    <tableColumn id="4" name="Frasco"/>
    <tableColumn id="5" name="Formato"/>
    <tableColumn id="6" name="B2B ou B2C"/>
    <tableColumn id="7" name="Quantidades"/>
    <tableColumn id="8" name="Tipo Rotulo"/>
    <tableColumn id="9" name="Tamanh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n">
        <v>15</v>
      </c>
      <c r="D5" s="4" t="s">
        <v>13</v>
      </c>
      <c r="E5" s="4" t="s">
        <v>14</v>
      </c>
      <c r="F5" s="5" t="s">
        <v>15</v>
      </c>
      <c r="G5" s="6" t="n">
        <v>200</v>
      </c>
      <c r="H5" s="4" t="s">
        <v>16</v>
      </c>
      <c r="I5" s="4" t="s">
        <v>17</v>
      </c>
    </row>
    <row r="6" customFormat="false" ht="15" hidden="false" customHeight="false" outlineLevel="0" collapsed="false">
      <c r="A6" s="4" t="s">
        <v>11</v>
      </c>
      <c r="B6" s="4" t="s">
        <v>18</v>
      </c>
      <c r="C6" s="4" t="n">
        <v>250</v>
      </c>
      <c r="D6" s="4" t="s">
        <v>19</v>
      </c>
      <c r="E6" s="4" t="s">
        <v>20</v>
      </c>
      <c r="F6" s="5" t="s">
        <v>15</v>
      </c>
      <c r="G6" s="6" t="n">
        <v>18</v>
      </c>
      <c r="H6" s="4" t="s">
        <v>16</v>
      </c>
      <c r="I6" s="4" t="s">
        <v>21</v>
      </c>
    </row>
    <row r="7" customFormat="false" ht="15" hidden="false" customHeight="false" outlineLevel="0" collapsed="false">
      <c r="A7" s="4" t="s">
        <v>11</v>
      </c>
      <c r="B7" s="4" t="s">
        <v>18</v>
      </c>
      <c r="C7" s="4" t="n">
        <v>250</v>
      </c>
      <c r="D7" s="4" t="s">
        <v>22</v>
      </c>
      <c r="E7" s="4" t="s">
        <v>23</v>
      </c>
      <c r="F7" s="5" t="s">
        <v>15</v>
      </c>
      <c r="G7" s="6" t="n">
        <v>12</v>
      </c>
      <c r="H7" s="4" t="s">
        <v>24</v>
      </c>
      <c r="I7" s="4" t="s">
        <v>25</v>
      </c>
    </row>
    <row r="8" customFormat="false" ht="15" hidden="false" customHeight="false" outlineLevel="0" collapsed="false">
      <c r="A8" s="4" t="s">
        <v>11</v>
      </c>
      <c r="B8" s="4" t="s">
        <v>18</v>
      </c>
      <c r="C8" s="4" t="n">
        <v>250</v>
      </c>
      <c r="D8" s="4" t="s">
        <v>26</v>
      </c>
      <c r="E8" s="4" t="s">
        <v>27</v>
      </c>
      <c r="F8" s="5" t="s">
        <v>15</v>
      </c>
      <c r="G8" s="6" t="n">
        <v>18</v>
      </c>
      <c r="H8" s="4" t="s">
        <v>16</v>
      </c>
      <c r="I8" s="4" t="s">
        <v>21</v>
      </c>
    </row>
    <row r="9" customFormat="false" ht="15" hidden="false" customHeight="false" outlineLevel="0" collapsed="false">
      <c r="A9" s="4" t="s">
        <v>28</v>
      </c>
      <c r="B9" s="4" t="s">
        <v>29</v>
      </c>
      <c r="C9" s="4" t="n">
        <v>160</v>
      </c>
      <c r="D9" s="4" t="s">
        <v>22</v>
      </c>
      <c r="E9" s="4" t="s">
        <v>29</v>
      </c>
      <c r="F9" s="7" t="s">
        <v>30</v>
      </c>
      <c r="G9" s="6" t="n">
        <v>29</v>
      </c>
      <c r="H9" s="4" t="s">
        <v>24</v>
      </c>
      <c r="I9" s="8"/>
    </row>
    <row r="10" customFormat="false" ht="15" hidden="false" customHeight="false" outlineLevel="0" collapsed="false">
      <c r="A10" s="4" t="s">
        <v>28</v>
      </c>
      <c r="B10" s="4" t="s">
        <v>29</v>
      </c>
      <c r="C10" s="4" t="n">
        <v>400</v>
      </c>
      <c r="D10" s="4" t="s">
        <v>22</v>
      </c>
      <c r="E10" s="4" t="s">
        <v>29</v>
      </c>
      <c r="F10" s="7" t="s">
        <v>30</v>
      </c>
      <c r="G10" s="6" t="n">
        <v>55</v>
      </c>
      <c r="H10" s="4" t="s">
        <v>24</v>
      </c>
      <c r="I10" s="4" t="s">
        <v>31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4" t="n">
        <v>1000</v>
      </c>
      <c r="D11" s="4" t="s">
        <v>22</v>
      </c>
      <c r="E11" s="4" t="s">
        <v>29</v>
      </c>
      <c r="F11" s="7" t="s">
        <v>30</v>
      </c>
      <c r="G11" s="6" t="n">
        <v>21</v>
      </c>
      <c r="H11" s="4" t="s">
        <v>24</v>
      </c>
      <c r="I11" s="4" t="s">
        <v>32</v>
      </c>
    </row>
    <row r="12" customFormat="false" ht="15" hidden="false" customHeight="false" outlineLevel="0" collapsed="false">
      <c r="A12" s="4" t="s">
        <v>28</v>
      </c>
      <c r="B12" s="4" t="s">
        <v>29</v>
      </c>
      <c r="C12" s="4" t="n">
        <v>5000</v>
      </c>
      <c r="D12" s="4" t="s">
        <v>22</v>
      </c>
      <c r="E12" s="4" t="s">
        <v>29</v>
      </c>
      <c r="F12" s="7" t="s">
        <v>30</v>
      </c>
      <c r="G12" s="6" t="n">
        <v>28</v>
      </c>
      <c r="H12" s="4" t="s">
        <v>24</v>
      </c>
      <c r="I12" s="8"/>
    </row>
    <row r="13" customFormat="false" ht="15" hidden="false" customHeight="false" outlineLevel="0" collapsed="false">
      <c r="A13" s="4" t="s">
        <v>28</v>
      </c>
      <c r="B13" s="4" t="s">
        <v>33</v>
      </c>
      <c r="C13" s="4" t="n">
        <v>100</v>
      </c>
      <c r="D13" s="4" t="s">
        <v>22</v>
      </c>
      <c r="E13" s="4" t="s">
        <v>33</v>
      </c>
      <c r="F13" s="7" t="s">
        <v>30</v>
      </c>
      <c r="G13" s="6" t="n">
        <v>19</v>
      </c>
      <c r="H13" s="4" t="s">
        <v>24</v>
      </c>
      <c r="I13" s="4" t="s">
        <v>34</v>
      </c>
    </row>
    <row r="14" customFormat="false" ht="15" hidden="false" customHeight="false" outlineLevel="0" collapsed="false">
      <c r="A14" s="4" t="s">
        <v>28</v>
      </c>
      <c r="B14" s="4" t="s">
        <v>33</v>
      </c>
      <c r="C14" s="4" t="n">
        <v>500</v>
      </c>
      <c r="D14" s="4" t="s">
        <v>22</v>
      </c>
      <c r="E14" s="4" t="s">
        <v>33</v>
      </c>
      <c r="F14" s="7" t="s">
        <v>30</v>
      </c>
      <c r="G14" s="6" t="n">
        <v>76</v>
      </c>
      <c r="H14" s="4" t="s">
        <v>24</v>
      </c>
      <c r="I14" s="4" t="s">
        <v>31</v>
      </c>
    </row>
    <row r="15" customFormat="false" ht="15" hidden="false" customHeight="false" outlineLevel="0" collapsed="false">
      <c r="A15" s="4" t="s">
        <v>28</v>
      </c>
      <c r="B15" s="4" t="s">
        <v>12</v>
      </c>
      <c r="C15" s="4" t="n">
        <v>15</v>
      </c>
      <c r="D15" s="4" t="s">
        <v>13</v>
      </c>
      <c r="E15" s="4" t="s">
        <v>14</v>
      </c>
      <c r="F15" s="5" t="s">
        <v>15</v>
      </c>
      <c r="G15" s="6" t="n">
        <v>100</v>
      </c>
      <c r="H15" s="4" t="s">
        <v>16</v>
      </c>
      <c r="I15" s="4" t="s">
        <v>17</v>
      </c>
    </row>
    <row r="16" customFormat="false" ht="15" hidden="false" customHeight="false" outlineLevel="0" collapsed="false">
      <c r="A16" s="4" t="s">
        <v>28</v>
      </c>
      <c r="B16" s="4" t="s">
        <v>12</v>
      </c>
      <c r="C16" s="4" t="n">
        <v>500</v>
      </c>
      <c r="D16" s="4" t="s">
        <v>22</v>
      </c>
      <c r="E16" s="4" t="s">
        <v>35</v>
      </c>
      <c r="F16" s="5" t="s">
        <v>15</v>
      </c>
      <c r="G16" s="6" t="n">
        <v>10</v>
      </c>
      <c r="H16" s="4" t="s">
        <v>24</v>
      </c>
      <c r="I16" s="4" t="s">
        <v>31</v>
      </c>
    </row>
    <row r="17" customFormat="false" ht="15" hidden="false" customHeight="false" outlineLevel="0" collapsed="false">
      <c r="A17" s="4" t="s">
        <v>28</v>
      </c>
      <c r="B17" s="4" t="s">
        <v>29</v>
      </c>
      <c r="C17" s="4" t="n">
        <v>15</v>
      </c>
      <c r="D17" s="4" t="s">
        <v>13</v>
      </c>
      <c r="E17" s="4" t="s">
        <v>36</v>
      </c>
      <c r="F17" s="5" t="s">
        <v>15</v>
      </c>
      <c r="G17" s="6" t="n">
        <v>100</v>
      </c>
      <c r="H17" s="4" t="s">
        <v>16</v>
      </c>
      <c r="I17" s="4" t="s">
        <v>17</v>
      </c>
    </row>
    <row r="18" customFormat="false" ht="15" hidden="false" customHeight="false" outlineLevel="0" collapsed="false">
      <c r="A18" s="4" t="s">
        <v>28</v>
      </c>
      <c r="B18" s="4" t="s">
        <v>29</v>
      </c>
      <c r="C18" s="4" t="n">
        <v>100</v>
      </c>
      <c r="D18" s="4" t="s">
        <v>22</v>
      </c>
      <c r="E18" s="4" t="s">
        <v>36</v>
      </c>
      <c r="F18" s="5" t="s">
        <v>15</v>
      </c>
      <c r="G18" s="6" t="n">
        <v>30</v>
      </c>
      <c r="H18" s="4" t="s">
        <v>24</v>
      </c>
      <c r="I18" s="4" t="s">
        <v>34</v>
      </c>
    </row>
    <row r="19" customFormat="false" ht="15" hidden="false" customHeight="false" outlineLevel="0" collapsed="false">
      <c r="A19" s="4" t="s">
        <v>28</v>
      </c>
      <c r="B19" s="4" t="s">
        <v>18</v>
      </c>
      <c r="C19" s="4" t="n">
        <v>250</v>
      </c>
      <c r="D19" s="4" t="s">
        <v>19</v>
      </c>
      <c r="E19" s="4" t="s">
        <v>20</v>
      </c>
      <c r="F19" s="5" t="s">
        <v>15</v>
      </c>
      <c r="G19" s="6" t="n">
        <v>8</v>
      </c>
      <c r="H19" s="4" t="s">
        <v>16</v>
      </c>
      <c r="I19" s="4" t="s">
        <v>21</v>
      </c>
    </row>
    <row r="20" customFormat="false" ht="15" hidden="false" customHeight="false" outlineLevel="0" collapsed="false">
      <c r="A20" s="4" t="s">
        <v>28</v>
      </c>
      <c r="B20" s="4" t="s">
        <v>18</v>
      </c>
      <c r="C20" s="4" t="n">
        <v>250</v>
      </c>
      <c r="D20" s="4" t="s">
        <v>22</v>
      </c>
      <c r="E20" s="4" t="s">
        <v>23</v>
      </c>
      <c r="F20" s="5" t="s">
        <v>15</v>
      </c>
      <c r="G20" s="6" t="n">
        <v>2</v>
      </c>
      <c r="H20" s="4" t="s">
        <v>24</v>
      </c>
      <c r="I20" s="4" t="s">
        <v>25</v>
      </c>
    </row>
    <row r="21" customFormat="false" ht="15" hidden="false" customHeight="false" outlineLevel="0" collapsed="false">
      <c r="A21" s="4" t="s">
        <v>28</v>
      </c>
      <c r="B21" s="4" t="s">
        <v>18</v>
      </c>
      <c r="C21" s="4" t="n">
        <v>250</v>
      </c>
      <c r="D21" s="4" t="s">
        <v>26</v>
      </c>
      <c r="E21" s="4" t="s">
        <v>27</v>
      </c>
      <c r="F21" s="5" t="s">
        <v>15</v>
      </c>
      <c r="G21" s="6" t="n">
        <v>8</v>
      </c>
      <c r="H21" s="4" t="s">
        <v>16</v>
      </c>
      <c r="I21" s="4" t="s">
        <v>21</v>
      </c>
    </row>
    <row r="22" customFormat="false" ht="15" hidden="false" customHeight="false" outlineLevel="0" collapsed="false">
      <c r="A22" s="4" t="s">
        <v>37</v>
      </c>
      <c r="B22" s="4" t="s">
        <v>29</v>
      </c>
      <c r="C22" s="4" t="n">
        <v>400</v>
      </c>
      <c r="D22" s="4" t="s">
        <v>22</v>
      </c>
      <c r="E22" s="4" t="s">
        <v>29</v>
      </c>
      <c r="F22" s="7" t="s">
        <v>30</v>
      </c>
      <c r="G22" s="6" t="n">
        <v>4</v>
      </c>
      <c r="H22" s="4" t="s">
        <v>24</v>
      </c>
      <c r="I22" s="4" t="s">
        <v>31</v>
      </c>
    </row>
    <row r="23" customFormat="false" ht="15" hidden="false" customHeight="false" outlineLevel="0" collapsed="false">
      <c r="A23" s="4" t="s">
        <v>37</v>
      </c>
      <c r="B23" s="4" t="s">
        <v>29</v>
      </c>
      <c r="C23" s="4" t="n">
        <v>1000</v>
      </c>
      <c r="D23" s="4" t="s">
        <v>22</v>
      </c>
      <c r="E23" s="4" t="s">
        <v>29</v>
      </c>
      <c r="F23" s="7" t="s">
        <v>30</v>
      </c>
      <c r="G23" s="6" t="n">
        <v>15</v>
      </c>
      <c r="H23" s="4" t="s">
        <v>24</v>
      </c>
      <c r="I23" s="4" t="s">
        <v>32</v>
      </c>
    </row>
    <row r="24" customFormat="false" ht="15" hidden="false" customHeight="false" outlineLevel="0" collapsed="false">
      <c r="A24" s="4" t="s">
        <v>37</v>
      </c>
      <c r="B24" s="4" t="s">
        <v>29</v>
      </c>
      <c r="C24" s="4" t="n">
        <v>5000</v>
      </c>
      <c r="D24" s="4" t="s">
        <v>22</v>
      </c>
      <c r="E24" s="4" t="s">
        <v>29</v>
      </c>
      <c r="F24" s="7" t="s">
        <v>30</v>
      </c>
      <c r="G24" s="6" t="n">
        <v>8</v>
      </c>
      <c r="H24" s="4" t="s">
        <v>24</v>
      </c>
      <c r="I24" s="8"/>
    </row>
    <row r="25" customFormat="false" ht="15" hidden="false" customHeight="false" outlineLevel="0" collapsed="false">
      <c r="A25" s="4" t="s">
        <v>38</v>
      </c>
      <c r="B25" s="4" t="s">
        <v>29</v>
      </c>
      <c r="C25" s="4" t="n">
        <v>400</v>
      </c>
      <c r="D25" s="4" t="s">
        <v>22</v>
      </c>
      <c r="E25" s="4" t="s">
        <v>29</v>
      </c>
      <c r="F25" s="7" t="s">
        <v>30</v>
      </c>
      <c r="G25" s="6" t="n">
        <v>14</v>
      </c>
      <c r="H25" s="4" t="s">
        <v>24</v>
      </c>
      <c r="I25" s="4" t="s">
        <v>31</v>
      </c>
    </row>
    <row r="26" customFormat="false" ht="15" hidden="false" customHeight="false" outlineLevel="0" collapsed="false">
      <c r="A26" s="4" t="s">
        <v>38</v>
      </c>
      <c r="B26" s="4" t="s">
        <v>29</v>
      </c>
      <c r="C26" s="4" t="n">
        <v>1000</v>
      </c>
      <c r="D26" s="4" t="s">
        <v>22</v>
      </c>
      <c r="E26" s="4" t="s">
        <v>29</v>
      </c>
      <c r="F26" s="7" t="s">
        <v>30</v>
      </c>
      <c r="G26" s="6" t="n">
        <v>6</v>
      </c>
      <c r="H26" s="4" t="s">
        <v>24</v>
      </c>
      <c r="I26" s="4" t="s">
        <v>32</v>
      </c>
    </row>
    <row r="27" customFormat="false" ht="15" hidden="false" customHeight="false" outlineLevel="0" collapsed="false">
      <c r="A27" s="4" t="s">
        <v>38</v>
      </c>
      <c r="B27" s="4" t="s">
        <v>33</v>
      </c>
      <c r="C27" s="4" t="n">
        <v>100</v>
      </c>
      <c r="D27" s="4" t="s">
        <v>22</v>
      </c>
      <c r="E27" s="4" t="s">
        <v>33</v>
      </c>
      <c r="F27" s="7" t="s">
        <v>30</v>
      </c>
      <c r="G27" s="6" t="n">
        <v>37</v>
      </c>
      <c r="H27" s="4" t="s">
        <v>24</v>
      </c>
      <c r="I27" s="4" t="s">
        <v>34</v>
      </c>
    </row>
    <row r="28" customFormat="false" ht="15" hidden="false" customHeight="false" outlineLevel="0" collapsed="false">
      <c r="A28" s="4" t="s">
        <v>38</v>
      </c>
      <c r="B28" s="4" t="s">
        <v>33</v>
      </c>
      <c r="C28" s="4" t="n">
        <v>500</v>
      </c>
      <c r="D28" s="4" t="s">
        <v>22</v>
      </c>
      <c r="E28" s="4" t="s">
        <v>33</v>
      </c>
      <c r="F28" s="7" t="s">
        <v>30</v>
      </c>
      <c r="G28" s="6" t="n">
        <v>43</v>
      </c>
      <c r="H28" s="4" t="s">
        <v>24</v>
      </c>
      <c r="I28" s="4" t="s">
        <v>31</v>
      </c>
    </row>
    <row r="29" customFormat="false" ht="15" hidden="false" customHeight="false" outlineLevel="0" collapsed="false">
      <c r="A29" s="4" t="s">
        <v>38</v>
      </c>
      <c r="B29" s="4" t="s">
        <v>33</v>
      </c>
      <c r="C29" s="4" t="n">
        <v>1000</v>
      </c>
      <c r="D29" s="4" t="s">
        <v>22</v>
      </c>
      <c r="E29" s="4" t="s">
        <v>33</v>
      </c>
      <c r="F29" s="7" t="s">
        <v>30</v>
      </c>
      <c r="G29" s="6" t="n">
        <v>4</v>
      </c>
      <c r="H29" s="4" t="s">
        <v>24</v>
      </c>
      <c r="I29" s="4" t="s">
        <v>32</v>
      </c>
    </row>
    <row r="30" customFormat="false" ht="15" hidden="false" customHeight="false" outlineLevel="0" collapsed="false">
      <c r="A30" s="4" t="s">
        <v>38</v>
      </c>
      <c r="B30" s="4" t="s">
        <v>18</v>
      </c>
      <c r="C30" s="4" t="n">
        <v>250</v>
      </c>
      <c r="D30" s="4" t="s">
        <v>22</v>
      </c>
      <c r="E30" s="4" t="s">
        <v>18</v>
      </c>
      <c r="F30" s="7" t="s">
        <v>30</v>
      </c>
      <c r="G30" s="6" t="n">
        <v>36</v>
      </c>
      <c r="H30" s="4" t="s">
        <v>24</v>
      </c>
      <c r="I30" s="4" t="s">
        <v>25</v>
      </c>
    </row>
    <row r="31" customFormat="false" ht="15" hidden="false" customHeight="false" outlineLevel="0" collapsed="false">
      <c r="A31" s="4" t="s">
        <v>38</v>
      </c>
      <c r="B31" s="4" t="s">
        <v>12</v>
      </c>
      <c r="C31" s="4" t="n">
        <v>15</v>
      </c>
      <c r="D31" s="4" t="s">
        <v>13</v>
      </c>
      <c r="E31" s="4" t="s">
        <v>14</v>
      </c>
      <c r="F31" s="5" t="s">
        <v>15</v>
      </c>
      <c r="G31" s="6" t="n">
        <v>100</v>
      </c>
      <c r="H31" s="4" t="s">
        <v>16</v>
      </c>
      <c r="I31" s="4" t="s">
        <v>17</v>
      </c>
    </row>
    <row r="32" customFormat="false" ht="15" hidden="false" customHeight="false" outlineLevel="0" collapsed="false">
      <c r="A32" s="4" t="s">
        <v>38</v>
      </c>
      <c r="B32" s="4" t="s">
        <v>12</v>
      </c>
      <c r="C32" s="4" t="n">
        <v>500</v>
      </c>
      <c r="D32" s="4" t="s">
        <v>22</v>
      </c>
      <c r="E32" s="4" t="s">
        <v>35</v>
      </c>
      <c r="F32" s="5" t="s">
        <v>15</v>
      </c>
      <c r="G32" s="6" t="n">
        <v>10</v>
      </c>
      <c r="H32" s="4" t="s">
        <v>24</v>
      </c>
      <c r="I32" s="4" t="s">
        <v>31</v>
      </c>
    </row>
    <row r="33" customFormat="false" ht="15" hidden="false" customHeight="false" outlineLevel="0" collapsed="false">
      <c r="A33" s="4" t="s">
        <v>38</v>
      </c>
      <c r="B33" s="4" t="s">
        <v>29</v>
      </c>
      <c r="C33" s="4" t="n">
        <v>15</v>
      </c>
      <c r="D33" s="4" t="s">
        <v>13</v>
      </c>
      <c r="E33" s="4" t="s">
        <v>36</v>
      </c>
      <c r="F33" s="5" t="s">
        <v>15</v>
      </c>
      <c r="G33" s="6" t="n">
        <v>100</v>
      </c>
      <c r="H33" s="4" t="s">
        <v>16</v>
      </c>
      <c r="I33" s="4" t="s">
        <v>17</v>
      </c>
    </row>
    <row r="34" customFormat="false" ht="15" hidden="false" customHeight="false" outlineLevel="0" collapsed="false">
      <c r="A34" s="4" t="s">
        <v>38</v>
      </c>
      <c r="B34" s="4" t="s">
        <v>29</v>
      </c>
      <c r="C34" s="4" t="n">
        <v>100</v>
      </c>
      <c r="D34" s="4" t="s">
        <v>22</v>
      </c>
      <c r="E34" s="4" t="s">
        <v>36</v>
      </c>
      <c r="F34" s="5" t="s">
        <v>15</v>
      </c>
      <c r="G34" s="6" t="n">
        <v>30</v>
      </c>
      <c r="H34" s="4" t="s">
        <v>24</v>
      </c>
      <c r="I34" s="4" t="s">
        <v>34</v>
      </c>
    </row>
    <row r="35" customFormat="false" ht="15" hidden="false" customHeight="false" outlineLevel="0" collapsed="false">
      <c r="A35" s="4" t="s">
        <v>38</v>
      </c>
      <c r="B35" s="4" t="s">
        <v>18</v>
      </c>
      <c r="C35" s="4" t="n">
        <v>250</v>
      </c>
      <c r="D35" s="4" t="s">
        <v>19</v>
      </c>
      <c r="E35" s="4" t="s">
        <v>20</v>
      </c>
      <c r="F35" s="5" t="s">
        <v>15</v>
      </c>
      <c r="G35" s="6" t="n">
        <v>8</v>
      </c>
      <c r="H35" s="4" t="s">
        <v>16</v>
      </c>
      <c r="I35" s="4" t="s">
        <v>21</v>
      </c>
    </row>
    <row r="36" customFormat="false" ht="15" hidden="false" customHeight="false" outlineLevel="0" collapsed="false">
      <c r="A36" s="4" t="s">
        <v>38</v>
      </c>
      <c r="B36" s="4" t="s">
        <v>18</v>
      </c>
      <c r="C36" s="4" t="n">
        <v>250</v>
      </c>
      <c r="D36" s="4" t="s">
        <v>22</v>
      </c>
      <c r="E36" s="4" t="s">
        <v>23</v>
      </c>
      <c r="F36" s="5" t="s">
        <v>15</v>
      </c>
      <c r="G36" s="6" t="n">
        <v>2</v>
      </c>
      <c r="H36" s="4" t="s">
        <v>24</v>
      </c>
      <c r="I36" s="4" t="s">
        <v>25</v>
      </c>
    </row>
    <row r="37" customFormat="false" ht="15" hidden="false" customHeight="false" outlineLevel="0" collapsed="false">
      <c r="A37" s="4" t="s">
        <v>38</v>
      </c>
      <c r="B37" s="4" t="s">
        <v>18</v>
      </c>
      <c r="C37" s="4" t="n">
        <v>250</v>
      </c>
      <c r="D37" s="4" t="s">
        <v>26</v>
      </c>
      <c r="E37" s="4" t="s">
        <v>27</v>
      </c>
      <c r="F37" s="5" t="s">
        <v>15</v>
      </c>
      <c r="G37" s="6" t="n">
        <v>8</v>
      </c>
      <c r="H37" s="4" t="s">
        <v>16</v>
      </c>
      <c r="I37" s="4" t="s">
        <v>21</v>
      </c>
    </row>
    <row r="38" customFormat="false" ht="15" hidden="false" customHeight="false" outlineLevel="0" collapsed="false">
      <c r="A38" s="4" t="s">
        <v>39</v>
      </c>
      <c r="B38" s="4" t="s">
        <v>33</v>
      </c>
      <c r="C38" s="4" t="n">
        <v>100</v>
      </c>
      <c r="D38" s="4" t="s">
        <v>22</v>
      </c>
      <c r="E38" s="4" t="s">
        <v>33</v>
      </c>
      <c r="F38" s="7" t="s">
        <v>30</v>
      </c>
      <c r="G38" s="6" t="n">
        <v>8</v>
      </c>
      <c r="H38" s="4" t="s">
        <v>24</v>
      </c>
      <c r="I38" s="4" t="s">
        <v>34</v>
      </c>
    </row>
    <row r="39" customFormat="false" ht="15" hidden="false" customHeight="false" outlineLevel="0" collapsed="false">
      <c r="A39" s="4" t="s">
        <v>40</v>
      </c>
      <c r="B39" s="4" t="s">
        <v>33</v>
      </c>
      <c r="C39" s="4" t="n">
        <v>500</v>
      </c>
      <c r="D39" s="4" t="s">
        <v>22</v>
      </c>
      <c r="E39" s="4" t="s">
        <v>33</v>
      </c>
      <c r="F39" s="7" t="s">
        <v>30</v>
      </c>
      <c r="G39" s="6" t="n">
        <v>2</v>
      </c>
      <c r="H39" s="4" t="s">
        <v>24</v>
      </c>
      <c r="I39" s="4" t="s">
        <v>31</v>
      </c>
    </row>
    <row r="40" customFormat="false" ht="15" hidden="false" customHeight="false" outlineLevel="0" collapsed="false">
      <c r="A40" s="4" t="s">
        <v>41</v>
      </c>
      <c r="B40" s="4" t="s">
        <v>12</v>
      </c>
      <c r="C40" s="4" t="n">
        <v>250</v>
      </c>
      <c r="D40" s="4" t="s">
        <v>22</v>
      </c>
      <c r="E40" s="4" t="s">
        <v>12</v>
      </c>
      <c r="F40" s="7" t="s">
        <v>30</v>
      </c>
      <c r="G40" s="6" t="n">
        <v>18</v>
      </c>
      <c r="H40" s="4" t="s">
        <v>24</v>
      </c>
      <c r="I40" s="4" t="s">
        <v>25</v>
      </c>
    </row>
    <row r="41" customFormat="false" ht="15" hidden="false" customHeight="false" outlineLevel="0" collapsed="false">
      <c r="A41" s="4" t="s">
        <v>41</v>
      </c>
      <c r="B41" s="4" t="s">
        <v>12</v>
      </c>
      <c r="C41" s="4" t="n">
        <v>500</v>
      </c>
      <c r="D41" s="4" t="s">
        <v>22</v>
      </c>
      <c r="E41" s="4" t="s">
        <v>12</v>
      </c>
      <c r="F41" s="7" t="s">
        <v>30</v>
      </c>
      <c r="G41" s="6" t="n">
        <v>40</v>
      </c>
      <c r="H41" s="4" t="s">
        <v>24</v>
      </c>
      <c r="I41" s="4" t="s">
        <v>31</v>
      </c>
    </row>
    <row r="42" customFormat="false" ht="15" hidden="false" customHeight="false" outlineLevel="0" collapsed="false">
      <c r="A42" s="4" t="s">
        <v>41</v>
      </c>
      <c r="B42" s="4" t="s">
        <v>33</v>
      </c>
      <c r="C42" s="4" t="n">
        <v>100</v>
      </c>
      <c r="D42" s="4" t="s">
        <v>22</v>
      </c>
      <c r="E42" s="4" t="s">
        <v>33</v>
      </c>
      <c r="F42" s="7" t="s">
        <v>30</v>
      </c>
      <c r="G42" s="6" t="n">
        <v>45</v>
      </c>
      <c r="H42" s="4" t="s">
        <v>24</v>
      </c>
      <c r="I42" s="4" t="s">
        <v>34</v>
      </c>
    </row>
    <row r="43" customFormat="false" ht="15" hidden="false" customHeight="false" outlineLevel="0" collapsed="false">
      <c r="A43" s="4" t="s">
        <v>41</v>
      </c>
      <c r="B43" s="4" t="s">
        <v>33</v>
      </c>
      <c r="C43" s="4" t="n">
        <v>500</v>
      </c>
      <c r="D43" s="4" t="s">
        <v>22</v>
      </c>
      <c r="E43" s="4" t="s">
        <v>33</v>
      </c>
      <c r="F43" s="7" t="s">
        <v>30</v>
      </c>
      <c r="G43" s="6" t="n">
        <v>4</v>
      </c>
      <c r="H43" s="4" t="s">
        <v>24</v>
      </c>
      <c r="I43" s="4" t="s">
        <v>31</v>
      </c>
    </row>
    <row r="44" customFormat="false" ht="15" hidden="false" customHeight="false" outlineLevel="0" collapsed="false">
      <c r="A44" s="4" t="s">
        <v>41</v>
      </c>
      <c r="B44" s="4" t="s">
        <v>12</v>
      </c>
      <c r="C44" s="4" t="n">
        <v>15</v>
      </c>
      <c r="D44" s="4" t="s">
        <v>13</v>
      </c>
      <c r="E44" s="4" t="s">
        <v>14</v>
      </c>
      <c r="F44" s="5" t="s">
        <v>15</v>
      </c>
      <c r="G44" s="6" t="n">
        <v>100</v>
      </c>
      <c r="H44" s="4" t="s">
        <v>16</v>
      </c>
      <c r="I44" s="4" t="s">
        <v>17</v>
      </c>
    </row>
    <row r="45" customFormat="false" ht="15" hidden="false" customHeight="false" outlineLevel="0" collapsed="false">
      <c r="A45" s="4" t="s">
        <v>41</v>
      </c>
      <c r="B45" s="4" t="s">
        <v>12</v>
      </c>
      <c r="C45" s="4" t="n">
        <v>500</v>
      </c>
      <c r="D45" s="4" t="s">
        <v>22</v>
      </c>
      <c r="E45" s="4" t="s">
        <v>35</v>
      </c>
      <c r="F45" s="5" t="s">
        <v>15</v>
      </c>
      <c r="G45" s="6" t="n">
        <v>10</v>
      </c>
      <c r="H45" s="4" t="s">
        <v>24</v>
      </c>
      <c r="I45" s="4" t="s">
        <v>31</v>
      </c>
    </row>
    <row r="46" customFormat="false" ht="15" hidden="false" customHeight="false" outlineLevel="0" collapsed="false">
      <c r="A46" s="4" t="s">
        <v>41</v>
      </c>
      <c r="B46" s="4" t="s">
        <v>29</v>
      </c>
      <c r="C46" s="4" t="n">
        <v>15</v>
      </c>
      <c r="D46" s="4" t="s">
        <v>13</v>
      </c>
      <c r="E46" s="4" t="s">
        <v>36</v>
      </c>
      <c r="F46" s="5" t="s">
        <v>15</v>
      </c>
      <c r="G46" s="6" t="n">
        <v>100</v>
      </c>
      <c r="H46" s="4" t="s">
        <v>16</v>
      </c>
      <c r="I46" s="4" t="s">
        <v>17</v>
      </c>
    </row>
    <row r="47" customFormat="false" ht="15" hidden="false" customHeight="false" outlineLevel="0" collapsed="false">
      <c r="A47" s="4" t="s">
        <v>41</v>
      </c>
      <c r="B47" s="4" t="s">
        <v>29</v>
      </c>
      <c r="C47" s="4" t="n">
        <v>100</v>
      </c>
      <c r="D47" s="4" t="s">
        <v>22</v>
      </c>
      <c r="E47" s="4" t="s">
        <v>36</v>
      </c>
      <c r="F47" s="5" t="s">
        <v>15</v>
      </c>
      <c r="G47" s="6" t="n">
        <v>30</v>
      </c>
      <c r="H47" s="4" t="s">
        <v>24</v>
      </c>
      <c r="I47" s="4" t="s">
        <v>34</v>
      </c>
    </row>
    <row r="48" customFormat="false" ht="15" hidden="false" customHeight="false" outlineLevel="0" collapsed="false">
      <c r="A48" s="4" t="s">
        <v>41</v>
      </c>
      <c r="B48" s="4" t="s">
        <v>18</v>
      </c>
      <c r="C48" s="4" t="n">
        <v>250</v>
      </c>
      <c r="D48" s="4" t="s">
        <v>19</v>
      </c>
      <c r="E48" s="4" t="s">
        <v>20</v>
      </c>
      <c r="F48" s="5" t="s">
        <v>15</v>
      </c>
      <c r="G48" s="6" t="n">
        <v>8</v>
      </c>
      <c r="H48" s="4" t="s">
        <v>16</v>
      </c>
      <c r="I48" s="4" t="s">
        <v>21</v>
      </c>
    </row>
    <row r="49" customFormat="false" ht="15" hidden="false" customHeight="false" outlineLevel="0" collapsed="false">
      <c r="A49" s="4" t="s">
        <v>41</v>
      </c>
      <c r="B49" s="4" t="s">
        <v>18</v>
      </c>
      <c r="C49" s="4" t="n">
        <v>250</v>
      </c>
      <c r="D49" s="4" t="s">
        <v>22</v>
      </c>
      <c r="E49" s="4" t="s">
        <v>23</v>
      </c>
      <c r="F49" s="5" t="s">
        <v>15</v>
      </c>
      <c r="G49" s="6" t="n">
        <v>2</v>
      </c>
      <c r="H49" s="4" t="s">
        <v>24</v>
      </c>
      <c r="I49" s="4" t="s">
        <v>25</v>
      </c>
    </row>
    <row r="50" customFormat="false" ht="15" hidden="false" customHeight="false" outlineLevel="0" collapsed="false">
      <c r="A50" s="4" t="s">
        <v>41</v>
      </c>
      <c r="B50" s="4" t="s">
        <v>18</v>
      </c>
      <c r="C50" s="4" t="n">
        <v>250</v>
      </c>
      <c r="D50" s="4" t="s">
        <v>26</v>
      </c>
      <c r="E50" s="4" t="s">
        <v>27</v>
      </c>
      <c r="F50" s="5" t="s">
        <v>15</v>
      </c>
      <c r="G50" s="6" t="n">
        <v>8</v>
      </c>
      <c r="H50" s="4" t="s">
        <v>16</v>
      </c>
      <c r="I50" s="4" t="s">
        <v>21</v>
      </c>
    </row>
    <row r="51" customFormat="false" ht="15" hidden="false" customHeight="false" outlineLevel="0" collapsed="false">
      <c r="A51" s="4" t="s">
        <v>42</v>
      </c>
      <c r="B51" s="4" t="s">
        <v>29</v>
      </c>
      <c r="C51" s="4" t="n">
        <v>400</v>
      </c>
      <c r="D51" s="4" t="s">
        <v>22</v>
      </c>
      <c r="E51" s="4" t="s">
        <v>29</v>
      </c>
      <c r="F51" s="7" t="s">
        <v>30</v>
      </c>
      <c r="G51" s="6" t="n">
        <v>6</v>
      </c>
      <c r="H51" s="4" t="s">
        <v>24</v>
      </c>
      <c r="I51" s="4" t="s">
        <v>31</v>
      </c>
    </row>
    <row r="52" customFormat="false" ht="15" hidden="false" customHeight="false" outlineLevel="0" collapsed="false">
      <c r="A52" s="4" t="s">
        <v>43</v>
      </c>
      <c r="B52" s="4" t="s">
        <v>33</v>
      </c>
      <c r="C52" s="4" t="n">
        <v>100</v>
      </c>
      <c r="D52" s="4" t="s">
        <v>22</v>
      </c>
      <c r="E52" s="4" t="s">
        <v>33</v>
      </c>
      <c r="F52" s="7" t="s">
        <v>30</v>
      </c>
      <c r="G52" s="6" t="n">
        <v>15</v>
      </c>
      <c r="H52" s="4" t="s">
        <v>24</v>
      </c>
      <c r="I52" s="4" t="s">
        <v>34</v>
      </c>
    </row>
    <row r="53" customFormat="false" ht="15" hidden="false" customHeight="false" outlineLevel="0" collapsed="false">
      <c r="A53" s="4" t="s">
        <v>43</v>
      </c>
      <c r="B53" s="4" t="s">
        <v>33</v>
      </c>
      <c r="C53" s="4" t="n">
        <v>500</v>
      </c>
      <c r="D53" s="4" t="s">
        <v>22</v>
      </c>
      <c r="E53" s="4" t="s">
        <v>33</v>
      </c>
      <c r="F53" s="7" t="s">
        <v>30</v>
      </c>
      <c r="G53" s="6" t="n">
        <v>1</v>
      </c>
      <c r="H53" s="4" t="s">
        <v>24</v>
      </c>
      <c r="I53" s="4" t="s">
        <v>31</v>
      </c>
    </row>
    <row r="54" customFormat="false" ht="15" hidden="false" customHeight="false" outlineLevel="0" collapsed="false">
      <c r="A54" s="4" t="s">
        <v>43</v>
      </c>
      <c r="B54" s="4" t="s">
        <v>12</v>
      </c>
      <c r="C54" s="4" t="n">
        <v>15</v>
      </c>
      <c r="D54" s="4" t="s">
        <v>13</v>
      </c>
      <c r="E54" s="4" t="s">
        <v>14</v>
      </c>
      <c r="F54" s="5" t="s">
        <v>15</v>
      </c>
      <c r="G54" s="6" t="n">
        <v>100</v>
      </c>
      <c r="H54" s="4" t="s">
        <v>16</v>
      </c>
      <c r="I54" s="4" t="s">
        <v>17</v>
      </c>
    </row>
    <row r="55" customFormat="false" ht="15" hidden="false" customHeight="false" outlineLevel="0" collapsed="false">
      <c r="A55" s="4" t="s">
        <v>43</v>
      </c>
      <c r="B55" s="4" t="s">
        <v>12</v>
      </c>
      <c r="C55" s="4" t="n">
        <v>500</v>
      </c>
      <c r="D55" s="4" t="s">
        <v>22</v>
      </c>
      <c r="E55" s="4" t="s">
        <v>35</v>
      </c>
      <c r="F55" s="5" t="s">
        <v>15</v>
      </c>
      <c r="G55" s="6" t="n">
        <v>10</v>
      </c>
      <c r="H55" s="4" t="s">
        <v>24</v>
      </c>
      <c r="I55" s="4" t="s">
        <v>31</v>
      </c>
    </row>
    <row r="56" customFormat="false" ht="15" hidden="false" customHeight="false" outlineLevel="0" collapsed="false">
      <c r="A56" s="4" t="s">
        <v>43</v>
      </c>
      <c r="B56" s="4" t="s">
        <v>29</v>
      </c>
      <c r="C56" s="4" t="n">
        <v>15</v>
      </c>
      <c r="D56" s="4" t="s">
        <v>13</v>
      </c>
      <c r="E56" s="4" t="s">
        <v>36</v>
      </c>
      <c r="F56" s="5" t="s">
        <v>15</v>
      </c>
      <c r="G56" s="6" t="n">
        <v>100</v>
      </c>
      <c r="H56" s="4" t="s">
        <v>16</v>
      </c>
      <c r="I56" s="4" t="s">
        <v>17</v>
      </c>
    </row>
    <row r="57" customFormat="false" ht="15" hidden="false" customHeight="false" outlineLevel="0" collapsed="false">
      <c r="A57" s="4" t="s">
        <v>43</v>
      </c>
      <c r="B57" s="4" t="s">
        <v>29</v>
      </c>
      <c r="C57" s="4" t="n">
        <v>100</v>
      </c>
      <c r="D57" s="4" t="s">
        <v>22</v>
      </c>
      <c r="E57" s="4" t="s">
        <v>36</v>
      </c>
      <c r="F57" s="5" t="s">
        <v>15</v>
      </c>
      <c r="G57" s="6" t="n">
        <v>30</v>
      </c>
      <c r="H57" s="4" t="s">
        <v>24</v>
      </c>
      <c r="I57" s="4" t="s">
        <v>34</v>
      </c>
    </row>
    <row r="58" customFormat="false" ht="15" hidden="false" customHeight="false" outlineLevel="0" collapsed="false">
      <c r="A58" s="4" t="s">
        <v>43</v>
      </c>
      <c r="B58" s="4" t="s">
        <v>18</v>
      </c>
      <c r="C58" s="4" t="n">
        <v>250</v>
      </c>
      <c r="D58" s="4" t="s">
        <v>19</v>
      </c>
      <c r="E58" s="4" t="s">
        <v>20</v>
      </c>
      <c r="F58" s="5" t="s">
        <v>15</v>
      </c>
      <c r="G58" s="6" t="n">
        <v>8</v>
      </c>
      <c r="H58" s="4" t="s">
        <v>16</v>
      </c>
      <c r="I58" s="4" t="s">
        <v>21</v>
      </c>
    </row>
    <row r="59" customFormat="false" ht="15" hidden="false" customHeight="false" outlineLevel="0" collapsed="false">
      <c r="A59" s="4" t="s">
        <v>43</v>
      </c>
      <c r="B59" s="4" t="s">
        <v>18</v>
      </c>
      <c r="C59" s="4" t="n">
        <v>250</v>
      </c>
      <c r="D59" s="4" t="s">
        <v>22</v>
      </c>
      <c r="E59" s="4" t="s">
        <v>23</v>
      </c>
      <c r="F59" s="5" t="s">
        <v>15</v>
      </c>
      <c r="G59" s="6" t="n">
        <v>2</v>
      </c>
      <c r="H59" s="4" t="s">
        <v>24</v>
      </c>
      <c r="I59" s="4" t="s">
        <v>25</v>
      </c>
    </row>
    <row r="60" customFormat="false" ht="15" hidden="false" customHeight="false" outlineLevel="0" collapsed="false">
      <c r="A60" s="4" t="s">
        <v>43</v>
      </c>
      <c r="B60" s="4" t="s">
        <v>18</v>
      </c>
      <c r="C60" s="4" t="n">
        <v>250</v>
      </c>
      <c r="D60" s="4" t="s">
        <v>26</v>
      </c>
      <c r="E60" s="4" t="s">
        <v>27</v>
      </c>
      <c r="F60" s="5" t="s">
        <v>15</v>
      </c>
      <c r="G60" s="6" t="n">
        <v>8</v>
      </c>
      <c r="H60" s="4" t="s">
        <v>16</v>
      </c>
      <c r="I60" s="4" t="s">
        <v>21</v>
      </c>
    </row>
    <row r="61" customFormat="false" ht="15" hidden="false" customHeight="false" outlineLevel="0" collapsed="false">
      <c r="A61" s="4" t="s">
        <v>44</v>
      </c>
      <c r="B61" s="4" t="s">
        <v>12</v>
      </c>
      <c r="C61" s="4" t="n">
        <v>250</v>
      </c>
      <c r="D61" s="4" t="s">
        <v>22</v>
      </c>
      <c r="E61" s="4" t="s">
        <v>12</v>
      </c>
      <c r="F61" s="7" t="s">
        <v>30</v>
      </c>
      <c r="G61" s="6" t="n">
        <v>205</v>
      </c>
      <c r="H61" s="4" t="s">
        <v>24</v>
      </c>
      <c r="I61" s="4" t="s">
        <v>25</v>
      </c>
    </row>
    <row r="62" customFormat="false" ht="15" hidden="false" customHeight="false" outlineLevel="0" collapsed="false">
      <c r="A62" s="4" t="s">
        <v>44</v>
      </c>
      <c r="B62" s="4" t="s">
        <v>29</v>
      </c>
      <c r="C62" s="4" t="n">
        <v>1000</v>
      </c>
      <c r="D62" s="4" t="s">
        <v>22</v>
      </c>
      <c r="E62" s="4" t="s">
        <v>29</v>
      </c>
      <c r="F62" s="7" t="s">
        <v>30</v>
      </c>
      <c r="G62" s="6" t="n">
        <v>18</v>
      </c>
      <c r="H62" s="4" t="s">
        <v>24</v>
      </c>
      <c r="I62" s="4" t="s">
        <v>32</v>
      </c>
    </row>
    <row r="63" customFormat="false" ht="15" hidden="false" customHeight="false" outlineLevel="0" collapsed="false">
      <c r="A63" s="4" t="s">
        <v>44</v>
      </c>
      <c r="B63" s="4" t="s">
        <v>29</v>
      </c>
      <c r="C63" s="4" t="n">
        <v>5000</v>
      </c>
      <c r="D63" s="4" t="s">
        <v>22</v>
      </c>
      <c r="E63" s="4" t="s">
        <v>29</v>
      </c>
      <c r="F63" s="7" t="s">
        <v>30</v>
      </c>
      <c r="G63" s="6" t="n">
        <v>8</v>
      </c>
      <c r="H63" s="4" t="s">
        <v>24</v>
      </c>
      <c r="I63" s="8"/>
    </row>
    <row r="64" customFormat="false" ht="15" hidden="false" customHeight="false" outlineLevel="0" collapsed="false">
      <c r="A64" s="4" t="s">
        <v>45</v>
      </c>
      <c r="B64" s="4" t="s">
        <v>29</v>
      </c>
      <c r="C64" s="4" t="n">
        <v>400</v>
      </c>
      <c r="D64" s="4" t="s">
        <v>22</v>
      </c>
      <c r="E64" s="4" t="s">
        <v>29</v>
      </c>
      <c r="F64" s="7" t="s">
        <v>30</v>
      </c>
      <c r="G64" s="6" t="n">
        <v>24</v>
      </c>
      <c r="H64" s="4" t="s">
        <v>24</v>
      </c>
      <c r="I64" s="4" t="s">
        <v>31</v>
      </c>
    </row>
    <row r="65" customFormat="false" ht="15" hidden="false" customHeight="false" outlineLevel="0" collapsed="false">
      <c r="A65" s="4" t="s">
        <v>45</v>
      </c>
      <c r="B65" s="4" t="s">
        <v>29</v>
      </c>
      <c r="C65" s="4" t="n">
        <v>1000</v>
      </c>
      <c r="D65" s="4" t="s">
        <v>22</v>
      </c>
      <c r="E65" s="4" t="s">
        <v>29</v>
      </c>
      <c r="F65" s="7" t="s">
        <v>30</v>
      </c>
      <c r="G65" s="6" t="n">
        <v>8</v>
      </c>
      <c r="H65" s="4" t="s">
        <v>24</v>
      </c>
      <c r="I65" s="4" t="s">
        <v>32</v>
      </c>
    </row>
    <row r="66" customFormat="false" ht="15" hidden="false" customHeight="false" outlineLevel="0" collapsed="false">
      <c r="A66" s="4" t="s">
        <v>45</v>
      </c>
      <c r="B66" s="4" t="s">
        <v>33</v>
      </c>
      <c r="C66" s="4" t="n">
        <v>100</v>
      </c>
      <c r="D66" s="4" t="s">
        <v>22</v>
      </c>
      <c r="E66" s="4" t="s">
        <v>33</v>
      </c>
      <c r="F66" s="7" t="s">
        <v>30</v>
      </c>
      <c r="G66" s="6" t="n">
        <v>16</v>
      </c>
      <c r="H66" s="4" t="s">
        <v>24</v>
      </c>
      <c r="I66" s="4" t="s">
        <v>34</v>
      </c>
    </row>
    <row r="67" customFormat="false" ht="15" hidden="false" customHeight="false" outlineLevel="0" collapsed="false">
      <c r="A67" s="4" t="s">
        <v>45</v>
      </c>
      <c r="B67" s="4" t="s">
        <v>33</v>
      </c>
      <c r="C67" s="4" t="n">
        <v>500</v>
      </c>
      <c r="D67" s="4" t="s">
        <v>22</v>
      </c>
      <c r="E67" s="4" t="s">
        <v>33</v>
      </c>
      <c r="F67" s="7" t="s">
        <v>30</v>
      </c>
      <c r="G67" s="6" t="n">
        <v>13</v>
      </c>
      <c r="H67" s="4" t="s">
        <v>24</v>
      </c>
      <c r="I67" s="4" t="s">
        <v>31</v>
      </c>
    </row>
    <row r="68" customFormat="false" ht="15" hidden="false" customHeight="false" outlineLevel="0" collapsed="false">
      <c r="A68" s="4" t="s">
        <v>45</v>
      </c>
      <c r="B68" s="4" t="s">
        <v>18</v>
      </c>
      <c r="C68" s="4" t="n">
        <v>500</v>
      </c>
      <c r="D68" s="4" t="s">
        <v>22</v>
      </c>
      <c r="E68" s="4" t="s">
        <v>18</v>
      </c>
      <c r="F68" s="7" t="s">
        <v>30</v>
      </c>
      <c r="G68" s="6" t="n">
        <v>16</v>
      </c>
      <c r="H68" s="4" t="s">
        <v>24</v>
      </c>
      <c r="I68" s="4" t="s">
        <v>31</v>
      </c>
    </row>
    <row r="69" customFormat="false" ht="15" hidden="false" customHeight="false" outlineLevel="0" collapsed="false">
      <c r="A69" s="4" t="s">
        <v>46</v>
      </c>
      <c r="B69" s="4" t="s">
        <v>29</v>
      </c>
      <c r="C69" s="4" t="n">
        <v>400</v>
      </c>
      <c r="D69" s="4" t="s">
        <v>22</v>
      </c>
      <c r="E69" s="4" t="s">
        <v>29</v>
      </c>
      <c r="F69" s="7" t="s">
        <v>30</v>
      </c>
      <c r="G69" s="6" t="n">
        <v>18</v>
      </c>
      <c r="H69" s="4" t="s">
        <v>24</v>
      </c>
      <c r="I69" s="4" t="s">
        <v>31</v>
      </c>
    </row>
    <row r="70" customFormat="false" ht="15" hidden="false" customHeight="false" outlineLevel="0" collapsed="false">
      <c r="A70" s="4" t="s">
        <v>47</v>
      </c>
      <c r="B70" s="4" t="s">
        <v>12</v>
      </c>
      <c r="C70" s="4" t="n">
        <v>15</v>
      </c>
      <c r="D70" s="4" t="s">
        <v>13</v>
      </c>
      <c r="E70" s="4" t="s">
        <v>14</v>
      </c>
      <c r="F70" s="5" t="s">
        <v>15</v>
      </c>
      <c r="G70" s="6" t="n">
        <v>200</v>
      </c>
      <c r="H70" s="4" t="s">
        <v>16</v>
      </c>
      <c r="I70" s="4" t="s">
        <v>17</v>
      </c>
    </row>
    <row r="71" customFormat="false" ht="15" hidden="false" customHeight="false" outlineLevel="0" collapsed="false">
      <c r="A71" s="4" t="s">
        <v>47</v>
      </c>
      <c r="B71" s="4" t="s">
        <v>18</v>
      </c>
      <c r="C71" s="4" t="n">
        <v>250</v>
      </c>
      <c r="D71" s="4" t="s">
        <v>19</v>
      </c>
      <c r="E71" s="4" t="s">
        <v>20</v>
      </c>
      <c r="F71" s="5" t="s">
        <v>15</v>
      </c>
      <c r="G71" s="6" t="n">
        <v>18</v>
      </c>
      <c r="H71" s="4" t="s">
        <v>16</v>
      </c>
      <c r="I71" s="4" t="s">
        <v>21</v>
      </c>
    </row>
    <row r="72" customFormat="false" ht="15" hidden="false" customHeight="false" outlineLevel="0" collapsed="false">
      <c r="A72" s="4" t="s">
        <v>47</v>
      </c>
      <c r="B72" s="4" t="s">
        <v>18</v>
      </c>
      <c r="C72" s="4" t="n">
        <v>250</v>
      </c>
      <c r="D72" s="4" t="s">
        <v>22</v>
      </c>
      <c r="E72" s="4" t="s">
        <v>23</v>
      </c>
      <c r="F72" s="5" t="s">
        <v>15</v>
      </c>
      <c r="G72" s="6" t="n">
        <v>12</v>
      </c>
      <c r="H72" s="4" t="s">
        <v>24</v>
      </c>
      <c r="I72" s="4" t="s">
        <v>25</v>
      </c>
    </row>
    <row r="73" customFormat="false" ht="15" hidden="false" customHeight="false" outlineLevel="0" collapsed="false">
      <c r="A73" s="4" t="s">
        <v>47</v>
      </c>
      <c r="B73" s="4" t="s">
        <v>18</v>
      </c>
      <c r="C73" s="4" t="n">
        <v>250</v>
      </c>
      <c r="D73" s="4" t="s">
        <v>26</v>
      </c>
      <c r="E73" s="4" t="s">
        <v>27</v>
      </c>
      <c r="F73" s="5" t="s">
        <v>15</v>
      </c>
      <c r="G73" s="6" t="n">
        <v>18</v>
      </c>
      <c r="H73" s="4" t="s">
        <v>16</v>
      </c>
      <c r="I73" s="4" t="s">
        <v>21</v>
      </c>
    </row>
    <row r="74" customFormat="false" ht="15" hidden="false" customHeight="false" outlineLevel="0" collapsed="false">
      <c r="A74" s="4" t="s">
        <v>48</v>
      </c>
      <c r="B74" s="4" t="s">
        <v>29</v>
      </c>
      <c r="C74" s="4" t="n">
        <v>400</v>
      </c>
      <c r="D74" s="4" t="s">
        <v>22</v>
      </c>
      <c r="E74" s="4" t="s">
        <v>29</v>
      </c>
      <c r="F74" s="7" t="s">
        <v>30</v>
      </c>
      <c r="G74" s="6" t="n">
        <v>31</v>
      </c>
      <c r="H74" s="4" t="s">
        <v>24</v>
      </c>
      <c r="I74" s="4" t="s">
        <v>31</v>
      </c>
    </row>
    <row r="75" customFormat="false" ht="15" hidden="false" customHeight="false" outlineLevel="0" collapsed="false">
      <c r="A75" s="4" t="s">
        <v>48</v>
      </c>
      <c r="B75" s="4" t="s">
        <v>33</v>
      </c>
      <c r="C75" s="4" t="n">
        <v>100</v>
      </c>
      <c r="D75" s="4" t="s">
        <v>22</v>
      </c>
      <c r="E75" s="4" t="s">
        <v>33</v>
      </c>
      <c r="F75" s="7" t="s">
        <v>30</v>
      </c>
      <c r="G75" s="6" t="n">
        <v>3</v>
      </c>
      <c r="H75" s="4" t="s">
        <v>24</v>
      </c>
      <c r="I75" s="4" t="s">
        <v>34</v>
      </c>
    </row>
    <row r="76" customFormat="false" ht="15" hidden="false" customHeight="false" outlineLevel="0" collapsed="false">
      <c r="A76" s="4" t="s">
        <v>48</v>
      </c>
      <c r="B76" s="4" t="s">
        <v>33</v>
      </c>
      <c r="C76" s="4" t="n">
        <v>500</v>
      </c>
      <c r="D76" s="4" t="s">
        <v>22</v>
      </c>
      <c r="E76" s="4" t="s">
        <v>33</v>
      </c>
      <c r="F76" s="7" t="s">
        <v>30</v>
      </c>
      <c r="G76" s="6" t="n">
        <v>128</v>
      </c>
      <c r="H76" s="4" t="s">
        <v>24</v>
      </c>
      <c r="I76" s="4" t="s">
        <v>31</v>
      </c>
    </row>
    <row r="77" customFormat="false" ht="15" hidden="false" customHeight="false" outlineLevel="0" collapsed="false">
      <c r="A77" s="4" t="s">
        <v>48</v>
      </c>
      <c r="B77" s="4" t="s">
        <v>33</v>
      </c>
      <c r="C77" s="4" t="n">
        <v>1000</v>
      </c>
      <c r="D77" s="4" t="s">
        <v>22</v>
      </c>
      <c r="E77" s="4" t="s">
        <v>33</v>
      </c>
      <c r="F77" s="7" t="s">
        <v>30</v>
      </c>
      <c r="G77" s="6" t="n">
        <v>9</v>
      </c>
      <c r="H77" s="4" t="s">
        <v>24</v>
      </c>
      <c r="I77" s="4" t="s">
        <v>32</v>
      </c>
    </row>
    <row r="78" customFormat="false" ht="15" hidden="false" customHeight="false" outlineLevel="0" collapsed="false">
      <c r="A78" s="4" t="s">
        <v>48</v>
      </c>
      <c r="B78" s="4" t="s">
        <v>18</v>
      </c>
      <c r="C78" s="4" t="n">
        <v>250</v>
      </c>
      <c r="D78" s="4" t="s">
        <v>22</v>
      </c>
      <c r="E78" s="4" t="s">
        <v>18</v>
      </c>
      <c r="F78" s="7" t="s">
        <v>30</v>
      </c>
      <c r="G78" s="6" t="n">
        <v>80</v>
      </c>
      <c r="H78" s="4" t="s">
        <v>24</v>
      </c>
      <c r="I78" s="4" t="s">
        <v>25</v>
      </c>
    </row>
    <row r="79" customFormat="false" ht="15" hidden="false" customHeight="false" outlineLevel="0" collapsed="false">
      <c r="A79" s="4" t="s">
        <v>48</v>
      </c>
      <c r="B79" s="4" t="s">
        <v>12</v>
      </c>
      <c r="C79" s="4" t="n">
        <v>15</v>
      </c>
      <c r="D79" s="4" t="s">
        <v>13</v>
      </c>
      <c r="E79" s="4" t="s">
        <v>14</v>
      </c>
      <c r="F79" s="5" t="s">
        <v>15</v>
      </c>
      <c r="G79" s="6" t="n">
        <v>100</v>
      </c>
      <c r="H79" s="4" t="s">
        <v>16</v>
      </c>
      <c r="I79" s="4" t="s">
        <v>17</v>
      </c>
    </row>
    <row r="80" customFormat="false" ht="15" hidden="false" customHeight="false" outlineLevel="0" collapsed="false">
      <c r="A80" s="4" t="s">
        <v>48</v>
      </c>
      <c r="B80" s="4" t="s">
        <v>12</v>
      </c>
      <c r="C80" s="4" t="n">
        <v>500</v>
      </c>
      <c r="D80" s="4" t="s">
        <v>22</v>
      </c>
      <c r="E80" s="4" t="s">
        <v>35</v>
      </c>
      <c r="F80" s="5" t="s">
        <v>15</v>
      </c>
      <c r="G80" s="6" t="n">
        <v>10</v>
      </c>
      <c r="H80" s="4" t="s">
        <v>24</v>
      </c>
      <c r="I80" s="4" t="s">
        <v>31</v>
      </c>
    </row>
    <row r="81" customFormat="false" ht="15" hidden="false" customHeight="false" outlineLevel="0" collapsed="false">
      <c r="A81" s="4" t="s">
        <v>48</v>
      </c>
      <c r="B81" s="4" t="s">
        <v>29</v>
      </c>
      <c r="C81" s="4" t="n">
        <v>15</v>
      </c>
      <c r="D81" s="4" t="s">
        <v>13</v>
      </c>
      <c r="E81" s="4" t="s">
        <v>36</v>
      </c>
      <c r="F81" s="5" t="s">
        <v>15</v>
      </c>
      <c r="G81" s="6" t="n">
        <v>100</v>
      </c>
      <c r="H81" s="4" t="s">
        <v>16</v>
      </c>
      <c r="I81" s="4" t="s">
        <v>17</v>
      </c>
    </row>
    <row r="82" customFormat="false" ht="15" hidden="false" customHeight="false" outlineLevel="0" collapsed="false">
      <c r="A82" s="4" t="s">
        <v>48</v>
      </c>
      <c r="B82" s="4" t="s">
        <v>29</v>
      </c>
      <c r="C82" s="4" t="n">
        <v>100</v>
      </c>
      <c r="D82" s="4" t="s">
        <v>22</v>
      </c>
      <c r="E82" s="4" t="s">
        <v>36</v>
      </c>
      <c r="F82" s="5" t="s">
        <v>15</v>
      </c>
      <c r="G82" s="6" t="n">
        <v>30</v>
      </c>
      <c r="H82" s="4" t="s">
        <v>24</v>
      </c>
      <c r="I82" s="4" t="s">
        <v>34</v>
      </c>
    </row>
    <row r="83" customFormat="false" ht="15" hidden="false" customHeight="false" outlineLevel="0" collapsed="false">
      <c r="A83" s="4" t="s">
        <v>48</v>
      </c>
      <c r="B83" s="4" t="s">
        <v>18</v>
      </c>
      <c r="C83" s="4" t="n">
        <v>250</v>
      </c>
      <c r="D83" s="4" t="s">
        <v>19</v>
      </c>
      <c r="E83" s="4" t="s">
        <v>20</v>
      </c>
      <c r="F83" s="5" t="s">
        <v>15</v>
      </c>
      <c r="G83" s="6" t="n">
        <v>8</v>
      </c>
      <c r="H83" s="4" t="s">
        <v>16</v>
      </c>
      <c r="I83" s="4" t="s">
        <v>21</v>
      </c>
    </row>
    <row r="84" customFormat="false" ht="15" hidden="false" customHeight="false" outlineLevel="0" collapsed="false">
      <c r="A84" s="4" t="s">
        <v>48</v>
      </c>
      <c r="B84" s="4" t="s">
        <v>18</v>
      </c>
      <c r="C84" s="4" t="n">
        <v>250</v>
      </c>
      <c r="D84" s="4" t="s">
        <v>22</v>
      </c>
      <c r="E84" s="4" t="s">
        <v>23</v>
      </c>
      <c r="F84" s="5" t="s">
        <v>15</v>
      </c>
      <c r="G84" s="6" t="n">
        <v>2</v>
      </c>
      <c r="H84" s="4" t="s">
        <v>24</v>
      </c>
      <c r="I84" s="4" t="s">
        <v>25</v>
      </c>
    </row>
    <row r="85" customFormat="false" ht="15" hidden="false" customHeight="false" outlineLevel="0" collapsed="false">
      <c r="A85" s="4" t="s">
        <v>48</v>
      </c>
      <c r="B85" s="4" t="s">
        <v>18</v>
      </c>
      <c r="C85" s="4" t="n">
        <v>250</v>
      </c>
      <c r="D85" s="4" t="s">
        <v>26</v>
      </c>
      <c r="E85" s="4" t="s">
        <v>27</v>
      </c>
      <c r="F85" s="5" t="s">
        <v>15</v>
      </c>
      <c r="G85" s="6" t="n">
        <v>8</v>
      </c>
      <c r="H85" s="4" t="s">
        <v>16</v>
      </c>
      <c r="I85" s="4" t="s">
        <v>21</v>
      </c>
    </row>
    <row r="86" customFormat="false" ht="15" hidden="false" customHeight="false" outlineLevel="0" collapsed="false">
      <c r="A86" s="4" t="s">
        <v>49</v>
      </c>
      <c r="B86" s="4" t="s">
        <v>18</v>
      </c>
      <c r="C86" s="4" t="n">
        <v>150</v>
      </c>
      <c r="D86" s="4" t="s">
        <v>22</v>
      </c>
      <c r="E86" s="4" t="s">
        <v>18</v>
      </c>
      <c r="F86" s="7" t="s">
        <v>30</v>
      </c>
      <c r="G86" s="6" t="n">
        <v>8</v>
      </c>
      <c r="H86" s="4" t="s">
        <v>24</v>
      </c>
      <c r="I86" s="4" t="s">
        <v>25</v>
      </c>
    </row>
    <row r="87" customFormat="false" ht="15" hidden="false" customHeight="false" outlineLevel="0" collapsed="false">
      <c r="A87" s="4" t="s">
        <v>50</v>
      </c>
      <c r="B87" s="4" t="s">
        <v>33</v>
      </c>
      <c r="C87" s="4" t="n">
        <v>500</v>
      </c>
      <c r="D87" s="4" t="s">
        <v>22</v>
      </c>
      <c r="E87" s="4" t="s">
        <v>33</v>
      </c>
      <c r="F87" s="7" t="s">
        <v>30</v>
      </c>
      <c r="G87" s="6" t="n">
        <v>19</v>
      </c>
      <c r="H87" s="4" t="s">
        <v>24</v>
      </c>
      <c r="I87" s="4" t="s">
        <v>31</v>
      </c>
    </row>
    <row r="88" customFormat="false" ht="15" hidden="false" customHeight="false" outlineLevel="0" collapsed="false">
      <c r="A88" s="4" t="s">
        <v>51</v>
      </c>
      <c r="B88" s="4" t="s">
        <v>33</v>
      </c>
      <c r="C88" s="4" t="n">
        <v>500</v>
      </c>
      <c r="D88" s="4" t="s">
        <v>22</v>
      </c>
      <c r="E88" s="4" t="s">
        <v>33</v>
      </c>
      <c r="F88" s="7" t="s">
        <v>30</v>
      </c>
      <c r="G88" s="6" t="n">
        <v>27</v>
      </c>
      <c r="H88" s="4" t="s">
        <v>24</v>
      </c>
      <c r="I88" s="4" t="s">
        <v>31</v>
      </c>
    </row>
    <row r="89" customFormat="false" ht="15" hidden="false" customHeight="false" outlineLevel="0" collapsed="false">
      <c r="A89" s="4" t="s">
        <v>52</v>
      </c>
      <c r="B89" s="4" t="s">
        <v>29</v>
      </c>
      <c r="C89" s="4" t="n">
        <v>400</v>
      </c>
      <c r="D89" s="4" t="s">
        <v>22</v>
      </c>
      <c r="E89" s="4" t="s">
        <v>29</v>
      </c>
      <c r="F89" s="7" t="s">
        <v>30</v>
      </c>
      <c r="G89" s="6" t="n">
        <v>2</v>
      </c>
      <c r="H89" s="4" t="s">
        <v>24</v>
      </c>
      <c r="I89" s="4" t="s">
        <v>31</v>
      </c>
    </row>
    <row r="90" customFormat="false" ht="15" hidden="false" customHeight="false" outlineLevel="0" collapsed="false">
      <c r="A90" s="4" t="s">
        <v>53</v>
      </c>
      <c r="B90" s="4" t="s">
        <v>12</v>
      </c>
      <c r="C90" s="4" t="n">
        <v>15</v>
      </c>
      <c r="D90" s="4" t="s">
        <v>13</v>
      </c>
      <c r="E90" s="4" t="s">
        <v>14</v>
      </c>
      <c r="F90" s="5" t="s">
        <v>15</v>
      </c>
      <c r="G90" s="6" t="n">
        <v>200</v>
      </c>
      <c r="H90" s="4" t="s">
        <v>16</v>
      </c>
      <c r="I90" s="4" t="s">
        <v>17</v>
      </c>
    </row>
    <row r="91" customFormat="false" ht="15" hidden="false" customHeight="false" outlineLevel="0" collapsed="false">
      <c r="A91" s="4" t="s">
        <v>53</v>
      </c>
      <c r="B91" s="4" t="s">
        <v>18</v>
      </c>
      <c r="C91" s="4" t="n">
        <v>250</v>
      </c>
      <c r="D91" s="4" t="s">
        <v>19</v>
      </c>
      <c r="E91" s="4" t="s">
        <v>20</v>
      </c>
      <c r="F91" s="5" t="s">
        <v>15</v>
      </c>
      <c r="G91" s="6" t="n">
        <v>18</v>
      </c>
      <c r="H91" s="4" t="s">
        <v>16</v>
      </c>
      <c r="I91" s="4" t="s">
        <v>21</v>
      </c>
    </row>
    <row r="92" customFormat="false" ht="15" hidden="false" customHeight="false" outlineLevel="0" collapsed="false">
      <c r="A92" s="4" t="s">
        <v>53</v>
      </c>
      <c r="B92" s="4" t="s">
        <v>18</v>
      </c>
      <c r="C92" s="4" t="n">
        <v>250</v>
      </c>
      <c r="D92" s="4" t="s">
        <v>22</v>
      </c>
      <c r="E92" s="4" t="s">
        <v>23</v>
      </c>
      <c r="F92" s="5" t="s">
        <v>15</v>
      </c>
      <c r="G92" s="6" t="n">
        <v>12</v>
      </c>
      <c r="H92" s="4" t="s">
        <v>24</v>
      </c>
      <c r="I92" s="4" t="s">
        <v>25</v>
      </c>
    </row>
    <row r="93" customFormat="false" ht="15" hidden="false" customHeight="false" outlineLevel="0" collapsed="false">
      <c r="A93" s="4" t="s">
        <v>53</v>
      </c>
      <c r="B93" s="4" t="s">
        <v>18</v>
      </c>
      <c r="C93" s="4" t="n">
        <v>250</v>
      </c>
      <c r="D93" s="4" t="s">
        <v>26</v>
      </c>
      <c r="E93" s="4" t="s">
        <v>27</v>
      </c>
      <c r="F93" s="5" t="s">
        <v>15</v>
      </c>
      <c r="G93" s="6" t="n">
        <v>18</v>
      </c>
      <c r="H93" s="4" t="s">
        <v>16</v>
      </c>
      <c r="I93" s="4" t="s">
        <v>21</v>
      </c>
    </row>
    <row r="94" customFormat="false" ht="15" hidden="false" customHeight="false" outlineLevel="0" collapsed="false">
      <c r="A94" s="4" t="s">
        <v>54</v>
      </c>
      <c r="B94" s="4" t="s">
        <v>29</v>
      </c>
      <c r="C94" s="4" t="n">
        <v>160</v>
      </c>
      <c r="D94" s="4" t="s">
        <v>22</v>
      </c>
      <c r="E94" s="4" t="s">
        <v>29</v>
      </c>
      <c r="F94" s="7" t="s">
        <v>30</v>
      </c>
      <c r="G94" s="6" t="n">
        <v>3</v>
      </c>
      <c r="H94" s="4" t="s">
        <v>24</v>
      </c>
      <c r="I94" s="8"/>
    </row>
    <row r="95" customFormat="false" ht="15" hidden="false" customHeight="false" outlineLevel="0" collapsed="false">
      <c r="A95" s="4" t="s">
        <v>54</v>
      </c>
      <c r="B95" s="4" t="s">
        <v>29</v>
      </c>
      <c r="C95" s="4" t="n">
        <v>400</v>
      </c>
      <c r="D95" s="4" t="s">
        <v>22</v>
      </c>
      <c r="E95" s="4" t="s">
        <v>29</v>
      </c>
      <c r="F95" s="7" t="s">
        <v>30</v>
      </c>
      <c r="G95" s="6" t="n">
        <v>16</v>
      </c>
      <c r="H95" s="4" t="s">
        <v>24</v>
      </c>
      <c r="I95" s="4" t="s">
        <v>31</v>
      </c>
    </row>
    <row r="96" customFormat="false" ht="15" hidden="false" customHeight="false" outlineLevel="0" collapsed="false">
      <c r="A96" s="4" t="s">
        <v>54</v>
      </c>
      <c r="B96" s="4" t="s">
        <v>33</v>
      </c>
      <c r="C96" s="4" t="n">
        <v>100</v>
      </c>
      <c r="D96" s="4" t="s">
        <v>22</v>
      </c>
      <c r="E96" s="4" t="s">
        <v>33</v>
      </c>
      <c r="F96" s="7" t="s">
        <v>30</v>
      </c>
      <c r="G96" s="6" t="n">
        <v>10</v>
      </c>
      <c r="H96" s="4" t="s">
        <v>24</v>
      </c>
      <c r="I96" s="4" t="s">
        <v>34</v>
      </c>
    </row>
    <row r="97" customFormat="false" ht="15" hidden="false" customHeight="false" outlineLevel="0" collapsed="false">
      <c r="A97" s="4" t="s">
        <v>54</v>
      </c>
      <c r="B97" s="4" t="s">
        <v>33</v>
      </c>
      <c r="C97" s="4" t="n">
        <v>500</v>
      </c>
      <c r="D97" s="4" t="s">
        <v>22</v>
      </c>
      <c r="E97" s="4" t="s">
        <v>33</v>
      </c>
      <c r="F97" s="7" t="s">
        <v>30</v>
      </c>
      <c r="G97" s="6" t="n">
        <v>43</v>
      </c>
      <c r="H97" s="4" t="s">
        <v>24</v>
      </c>
      <c r="I97" s="4" t="s">
        <v>31</v>
      </c>
    </row>
    <row r="98" customFormat="false" ht="15" hidden="false" customHeight="false" outlineLevel="0" collapsed="false">
      <c r="A98" s="4" t="s">
        <v>54</v>
      </c>
      <c r="B98" s="4" t="s">
        <v>18</v>
      </c>
      <c r="C98" s="4" t="n">
        <v>150</v>
      </c>
      <c r="D98" s="4" t="s">
        <v>22</v>
      </c>
      <c r="E98" s="4" t="s">
        <v>18</v>
      </c>
      <c r="F98" s="7" t="s">
        <v>30</v>
      </c>
      <c r="G98" s="6" t="n">
        <v>4</v>
      </c>
      <c r="H98" s="4" t="s">
        <v>24</v>
      </c>
      <c r="I98" s="4" t="s">
        <v>25</v>
      </c>
    </row>
    <row r="99" customFormat="false" ht="15" hidden="false" customHeight="false" outlineLevel="0" collapsed="false">
      <c r="A99" s="4" t="s">
        <v>55</v>
      </c>
      <c r="B99" s="4" t="s">
        <v>33</v>
      </c>
      <c r="C99" s="4" t="n">
        <v>500</v>
      </c>
      <c r="D99" s="4" t="s">
        <v>22</v>
      </c>
      <c r="E99" s="4" t="s">
        <v>33</v>
      </c>
      <c r="F99" s="7" t="s">
        <v>30</v>
      </c>
      <c r="G99" s="6" t="n">
        <v>36</v>
      </c>
      <c r="H99" s="4" t="s">
        <v>24</v>
      </c>
      <c r="I99" s="4" t="s">
        <v>31</v>
      </c>
    </row>
    <row r="100" customFormat="false" ht="15" hidden="false" customHeight="false" outlineLevel="0" collapsed="false">
      <c r="A100" s="4" t="s">
        <v>56</v>
      </c>
      <c r="B100" s="4" t="s">
        <v>12</v>
      </c>
      <c r="C100" s="4" t="n">
        <v>150</v>
      </c>
      <c r="D100" s="4" t="s">
        <v>22</v>
      </c>
      <c r="E100" s="4" t="s">
        <v>12</v>
      </c>
      <c r="F100" s="7" t="s">
        <v>30</v>
      </c>
      <c r="G100" s="6" t="n">
        <v>25</v>
      </c>
      <c r="H100" s="4" t="s">
        <v>24</v>
      </c>
      <c r="I100" s="4" t="s">
        <v>25</v>
      </c>
    </row>
    <row r="101" customFormat="false" ht="15" hidden="false" customHeight="false" outlineLevel="0" collapsed="false">
      <c r="A101" s="4" t="s">
        <v>56</v>
      </c>
      <c r="B101" s="4" t="s">
        <v>12</v>
      </c>
      <c r="C101" s="4" t="n">
        <v>250</v>
      </c>
      <c r="D101" s="4" t="s">
        <v>22</v>
      </c>
      <c r="E101" s="4" t="s">
        <v>12</v>
      </c>
      <c r="F101" s="7" t="s">
        <v>30</v>
      </c>
      <c r="G101" s="6" t="n">
        <v>90</v>
      </c>
      <c r="H101" s="4" t="s">
        <v>24</v>
      </c>
      <c r="I101" s="4" t="s">
        <v>25</v>
      </c>
    </row>
    <row r="102" customFormat="false" ht="15" hidden="false" customHeight="false" outlineLevel="0" collapsed="false">
      <c r="A102" s="4" t="s">
        <v>56</v>
      </c>
      <c r="B102" s="4" t="s">
        <v>29</v>
      </c>
      <c r="C102" s="4" t="n">
        <v>160</v>
      </c>
      <c r="D102" s="4" t="s">
        <v>22</v>
      </c>
      <c r="E102" s="4" t="s">
        <v>29</v>
      </c>
      <c r="F102" s="7" t="s">
        <v>30</v>
      </c>
      <c r="G102" s="6" t="n">
        <v>7</v>
      </c>
      <c r="H102" s="4" t="s">
        <v>24</v>
      </c>
      <c r="I102" s="8"/>
    </row>
    <row r="103" customFormat="false" ht="15" hidden="false" customHeight="false" outlineLevel="0" collapsed="false">
      <c r="A103" s="4" t="s">
        <v>56</v>
      </c>
      <c r="B103" s="4" t="s">
        <v>29</v>
      </c>
      <c r="C103" s="4" t="n">
        <v>400</v>
      </c>
      <c r="D103" s="4" t="s">
        <v>22</v>
      </c>
      <c r="E103" s="4" t="s">
        <v>29</v>
      </c>
      <c r="F103" s="7" t="s">
        <v>30</v>
      </c>
      <c r="G103" s="6" t="n">
        <v>13</v>
      </c>
      <c r="H103" s="4" t="s">
        <v>24</v>
      </c>
      <c r="I103" s="4" t="s">
        <v>31</v>
      </c>
    </row>
    <row r="104" customFormat="false" ht="15" hidden="false" customHeight="false" outlineLevel="0" collapsed="false">
      <c r="A104" s="4" t="s">
        <v>56</v>
      </c>
      <c r="B104" s="4" t="s">
        <v>33</v>
      </c>
      <c r="C104" s="4" t="n">
        <v>100</v>
      </c>
      <c r="D104" s="4" t="s">
        <v>22</v>
      </c>
      <c r="E104" s="4" t="s">
        <v>33</v>
      </c>
      <c r="F104" s="7" t="s">
        <v>30</v>
      </c>
      <c r="G104" s="6" t="n">
        <v>10</v>
      </c>
      <c r="H104" s="4" t="s">
        <v>24</v>
      </c>
      <c r="I104" s="4" t="s">
        <v>34</v>
      </c>
    </row>
    <row r="105" customFormat="false" ht="15" hidden="false" customHeight="false" outlineLevel="0" collapsed="false">
      <c r="A105" s="4" t="s">
        <v>57</v>
      </c>
      <c r="B105" s="4" t="s">
        <v>33</v>
      </c>
      <c r="C105" s="4" t="n">
        <v>100</v>
      </c>
      <c r="D105" s="4" t="s">
        <v>22</v>
      </c>
      <c r="E105" s="4" t="s">
        <v>33</v>
      </c>
      <c r="F105" s="7" t="s">
        <v>30</v>
      </c>
      <c r="G105" s="6" t="n">
        <v>649</v>
      </c>
      <c r="H105" s="4" t="s">
        <v>24</v>
      </c>
      <c r="I105" s="4" t="s">
        <v>34</v>
      </c>
    </row>
    <row r="106" customFormat="false" ht="15" hidden="false" customHeight="false" outlineLevel="0" collapsed="false">
      <c r="A106" s="4" t="s">
        <v>58</v>
      </c>
      <c r="B106" s="4" t="s">
        <v>29</v>
      </c>
      <c r="C106" s="4" t="n">
        <v>160</v>
      </c>
      <c r="D106" s="4" t="s">
        <v>22</v>
      </c>
      <c r="E106" s="4" t="s">
        <v>29</v>
      </c>
      <c r="F106" s="7" t="s">
        <v>30</v>
      </c>
      <c r="G106" s="6" t="n">
        <v>23</v>
      </c>
      <c r="H106" s="4" t="s">
        <v>24</v>
      </c>
      <c r="I106" s="8"/>
    </row>
    <row r="107" customFormat="false" ht="15" hidden="false" customHeight="false" outlineLevel="0" collapsed="false">
      <c r="A107" s="4" t="s">
        <v>58</v>
      </c>
      <c r="B107" s="4" t="s">
        <v>29</v>
      </c>
      <c r="C107" s="4" t="n">
        <v>400</v>
      </c>
      <c r="D107" s="4" t="s">
        <v>22</v>
      </c>
      <c r="E107" s="4" t="s">
        <v>29</v>
      </c>
      <c r="F107" s="7" t="s">
        <v>30</v>
      </c>
      <c r="G107" s="6" t="n">
        <v>57</v>
      </c>
      <c r="H107" s="4" t="s">
        <v>24</v>
      </c>
      <c r="I107" s="4" t="s">
        <v>31</v>
      </c>
    </row>
    <row r="108" customFormat="false" ht="15" hidden="false" customHeight="false" outlineLevel="0" collapsed="false">
      <c r="A108" s="4" t="s">
        <v>58</v>
      </c>
      <c r="B108" s="4" t="s">
        <v>33</v>
      </c>
      <c r="C108" s="4" t="n">
        <v>100</v>
      </c>
      <c r="D108" s="4" t="s">
        <v>22</v>
      </c>
      <c r="E108" s="4" t="s">
        <v>33</v>
      </c>
      <c r="F108" s="7" t="s">
        <v>30</v>
      </c>
      <c r="G108" s="6" t="n">
        <v>28</v>
      </c>
      <c r="H108" s="4" t="s">
        <v>24</v>
      </c>
      <c r="I108" s="4" t="s">
        <v>34</v>
      </c>
    </row>
    <row r="109" customFormat="false" ht="15" hidden="false" customHeight="false" outlineLevel="0" collapsed="false">
      <c r="A109" s="4" t="s">
        <v>59</v>
      </c>
      <c r="B109" s="4" t="s">
        <v>29</v>
      </c>
      <c r="C109" s="4" t="n">
        <v>400</v>
      </c>
      <c r="D109" s="4" t="s">
        <v>22</v>
      </c>
      <c r="E109" s="4" t="s">
        <v>29</v>
      </c>
      <c r="F109" s="7" t="s">
        <v>30</v>
      </c>
      <c r="G109" s="6" t="n">
        <v>46</v>
      </c>
      <c r="H109" s="4" t="s">
        <v>24</v>
      </c>
      <c r="I109" s="4" t="s">
        <v>31</v>
      </c>
    </row>
    <row r="110" customFormat="false" ht="15" hidden="false" customHeight="false" outlineLevel="0" collapsed="false">
      <c r="A110" s="4" t="s">
        <v>59</v>
      </c>
      <c r="B110" s="4" t="s">
        <v>33</v>
      </c>
      <c r="C110" s="4" t="n">
        <v>100</v>
      </c>
      <c r="D110" s="4" t="s">
        <v>22</v>
      </c>
      <c r="E110" s="4" t="s">
        <v>33</v>
      </c>
      <c r="F110" s="7" t="s">
        <v>30</v>
      </c>
      <c r="G110" s="6" t="n">
        <v>103</v>
      </c>
      <c r="H110" s="4" t="s">
        <v>24</v>
      </c>
      <c r="I110" s="4" t="s">
        <v>34</v>
      </c>
    </row>
    <row r="111" customFormat="false" ht="15" hidden="false" customHeight="false" outlineLevel="0" collapsed="false">
      <c r="A111" s="4" t="s">
        <v>60</v>
      </c>
      <c r="B111" s="4" t="s">
        <v>29</v>
      </c>
      <c r="C111" s="4" t="n">
        <v>400</v>
      </c>
      <c r="D111" s="4" t="s">
        <v>22</v>
      </c>
      <c r="E111" s="4" t="s">
        <v>29</v>
      </c>
      <c r="F111" s="7" t="s">
        <v>30</v>
      </c>
      <c r="G111" s="6" t="n">
        <v>68</v>
      </c>
      <c r="H111" s="4" t="s">
        <v>24</v>
      </c>
      <c r="I111" s="4" t="s">
        <v>31</v>
      </c>
    </row>
    <row r="112" customFormat="false" ht="15" hidden="false" customHeight="false" outlineLevel="0" collapsed="false">
      <c r="A112" s="4" t="s">
        <v>60</v>
      </c>
      <c r="B112" s="4" t="s">
        <v>29</v>
      </c>
      <c r="C112" s="4" t="n">
        <v>1000</v>
      </c>
      <c r="D112" s="4" t="s">
        <v>22</v>
      </c>
      <c r="E112" s="4" t="s">
        <v>29</v>
      </c>
      <c r="F112" s="7" t="s">
        <v>30</v>
      </c>
      <c r="G112" s="6" t="n">
        <v>18</v>
      </c>
      <c r="H112" s="4" t="s">
        <v>24</v>
      </c>
      <c r="I112" s="4" t="s">
        <v>32</v>
      </c>
    </row>
    <row r="113" customFormat="false" ht="15" hidden="false" customHeight="false" outlineLevel="0" collapsed="false">
      <c r="A113" s="4" t="s">
        <v>60</v>
      </c>
      <c r="B113" s="4" t="s">
        <v>33</v>
      </c>
      <c r="C113" s="4" t="n">
        <v>100</v>
      </c>
      <c r="D113" s="4" t="s">
        <v>22</v>
      </c>
      <c r="E113" s="4" t="s">
        <v>33</v>
      </c>
      <c r="F113" s="7" t="s">
        <v>30</v>
      </c>
      <c r="G113" s="6" t="n">
        <v>236</v>
      </c>
      <c r="H113" s="4" t="s">
        <v>24</v>
      </c>
      <c r="I113" s="4" t="s">
        <v>34</v>
      </c>
    </row>
    <row r="114" customFormat="false" ht="15" hidden="false" customHeight="false" outlineLevel="0" collapsed="false">
      <c r="A114" s="4" t="s">
        <v>60</v>
      </c>
      <c r="B114" s="4" t="s">
        <v>33</v>
      </c>
      <c r="C114" s="4" t="n">
        <v>500</v>
      </c>
      <c r="D114" s="4" t="s">
        <v>22</v>
      </c>
      <c r="E114" s="4" t="s">
        <v>33</v>
      </c>
      <c r="F114" s="7" t="s">
        <v>30</v>
      </c>
      <c r="G114" s="6" t="n">
        <v>2</v>
      </c>
      <c r="H114" s="4" t="s">
        <v>24</v>
      </c>
      <c r="I114" s="4" t="s">
        <v>31</v>
      </c>
    </row>
    <row r="115" customFormat="false" ht="15" hidden="false" customHeight="false" outlineLevel="0" collapsed="false">
      <c r="A115" s="4" t="s">
        <v>60</v>
      </c>
      <c r="B115" s="4" t="s">
        <v>33</v>
      </c>
      <c r="C115" s="4" t="n">
        <v>1000</v>
      </c>
      <c r="D115" s="4" t="s">
        <v>22</v>
      </c>
      <c r="E115" s="4" t="s">
        <v>33</v>
      </c>
      <c r="F115" s="7" t="s">
        <v>30</v>
      </c>
      <c r="G115" s="6" t="n">
        <v>18</v>
      </c>
      <c r="H115" s="4" t="s">
        <v>24</v>
      </c>
      <c r="I115" s="4" t="s">
        <v>32</v>
      </c>
    </row>
    <row r="116" customFormat="false" ht="15" hidden="false" customHeight="false" outlineLevel="0" collapsed="false">
      <c r="A116" s="4" t="s">
        <v>61</v>
      </c>
      <c r="B116" s="4" t="s">
        <v>33</v>
      </c>
      <c r="C116" s="4" t="n">
        <v>500</v>
      </c>
      <c r="D116" s="4" t="s">
        <v>22</v>
      </c>
      <c r="E116" s="4" t="s">
        <v>33</v>
      </c>
      <c r="F116" s="7" t="s">
        <v>30</v>
      </c>
      <c r="G116" s="6" t="n">
        <v>18</v>
      </c>
      <c r="H116" s="4" t="s">
        <v>24</v>
      </c>
      <c r="I116" s="4" t="s">
        <v>31</v>
      </c>
    </row>
    <row r="117" customFormat="false" ht="15" hidden="false" customHeight="false" outlineLevel="0" collapsed="false">
      <c r="A117" s="4" t="s">
        <v>62</v>
      </c>
      <c r="B117" s="4" t="s">
        <v>29</v>
      </c>
      <c r="C117" s="4" t="n">
        <v>400</v>
      </c>
      <c r="D117" s="4" t="s">
        <v>22</v>
      </c>
      <c r="E117" s="4" t="s">
        <v>29</v>
      </c>
      <c r="F117" s="7" t="s">
        <v>30</v>
      </c>
      <c r="G117" s="6" t="n">
        <v>6</v>
      </c>
      <c r="H117" s="4" t="s">
        <v>24</v>
      </c>
      <c r="I117" s="4" t="s">
        <v>31</v>
      </c>
    </row>
    <row r="118" customFormat="false" ht="15" hidden="false" customHeight="false" outlineLevel="0" collapsed="false">
      <c r="A118" s="4" t="s">
        <v>62</v>
      </c>
      <c r="B118" s="4" t="s">
        <v>29</v>
      </c>
      <c r="C118" s="4" t="n">
        <v>1000</v>
      </c>
      <c r="D118" s="4" t="s">
        <v>22</v>
      </c>
      <c r="E118" s="4" t="s">
        <v>29</v>
      </c>
      <c r="F118" s="7" t="s">
        <v>30</v>
      </c>
      <c r="G118" s="6" t="n">
        <v>2</v>
      </c>
      <c r="H118" s="4" t="s">
        <v>24</v>
      </c>
      <c r="I118" s="4" t="s">
        <v>32</v>
      </c>
    </row>
    <row r="119" customFormat="false" ht="15" hidden="false" customHeight="false" outlineLevel="0" collapsed="false">
      <c r="A119" s="4" t="s">
        <v>62</v>
      </c>
      <c r="B119" s="4" t="s">
        <v>33</v>
      </c>
      <c r="C119" s="4" t="n">
        <v>500</v>
      </c>
      <c r="D119" s="4" t="s">
        <v>22</v>
      </c>
      <c r="E119" s="4" t="s">
        <v>33</v>
      </c>
      <c r="F119" s="7" t="s">
        <v>30</v>
      </c>
      <c r="G119" s="6" t="n">
        <v>23</v>
      </c>
      <c r="H119" s="4" t="s">
        <v>24</v>
      </c>
      <c r="I119" s="4" t="s">
        <v>31</v>
      </c>
    </row>
    <row r="120" customFormat="false" ht="15" hidden="false" customHeight="false" outlineLevel="0" collapsed="false">
      <c r="A120" s="4" t="s">
        <v>63</v>
      </c>
      <c r="B120" s="4" t="s">
        <v>33</v>
      </c>
      <c r="C120" s="4" t="n">
        <v>100</v>
      </c>
      <c r="D120" s="4" t="s">
        <v>22</v>
      </c>
      <c r="E120" s="4" t="s">
        <v>33</v>
      </c>
      <c r="F120" s="7" t="s">
        <v>30</v>
      </c>
      <c r="G120" s="6" t="n">
        <v>27</v>
      </c>
      <c r="H120" s="4" t="s">
        <v>24</v>
      </c>
      <c r="I120" s="4" t="s">
        <v>34</v>
      </c>
    </row>
    <row r="121" customFormat="false" ht="15" hidden="false" customHeight="false" outlineLevel="0" collapsed="false">
      <c r="A121" s="4" t="s">
        <v>63</v>
      </c>
      <c r="B121" s="4" t="s">
        <v>33</v>
      </c>
      <c r="C121" s="4" t="n">
        <v>500</v>
      </c>
      <c r="D121" s="4" t="s">
        <v>22</v>
      </c>
      <c r="E121" s="4" t="s">
        <v>33</v>
      </c>
      <c r="F121" s="7" t="s">
        <v>30</v>
      </c>
      <c r="G121" s="6" t="n">
        <v>379</v>
      </c>
      <c r="H121" s="4" t="s">
        <v>24</v>
      </c>
      <c r="I121" s="4" t="s">
        <v>31</v>
      </c>
    </row>
    <row r="122" customFormat="false" ht="15" hidden="false" customHeight="false" outlineLevel="0" collapsed="false">
      <c r="A122" s="4" t="s">
        <v>64</v>
      </c>
      <c r="B122" s="4" t="s">
        <v>29</v>
      </c>
      <c r="C122" s="4" t="n">
        <v>400</v>
      </c>
      <c r="D122" s="4" t="s">
        <v>22</v>
      </c>
      <c r="E122" s="4" t="s">
        <v>29</v>
      </c>
      <c r="F122" s="7" t="s">
        <v>30</v>
      </c>
      <c r="G122" s="6" t="n">
        <v>6</v>
      </c>
      <c r="H122" s="4" t="s">
        <v>24</v>
      </c>
      <c r="I122" s="4" t="s">
        <v>31</v>
      </c>
    </row>
    <row r="123" customFormat="false" ht="15" hidden="false" customHeight="false" outlineLevel="0" collapsed="false">
      <c r="A123" s="4" t="s">
        <v>64</v>
      </c>
      <c r="B123" s="4" t="s">
        <v>33</v>
      </c>
      <c r="C123" s="4" t="n">
        <v>100</v>
      </c>
      <c r="D123" s="4" t="s">
        <v>22</v>
      </c>
      <c r="E123" s="4" t="s">
        <v>33</v>
      </c>
      <c r="F123" s="7" t="s">
        <v>30</v>
      </c>
      <c r="G123" s="6" t="n">
        <v>7</v>
      </c>
      <c r="H123" s="4" t="s">
        <v>24</v>
      </c>
      <c r="I123" s="4" t="s">
        <v>34</v>
      </c>
    </row>
    <row r="124" customFormat="false" ht="15" hidden="false" customHeight="false" outlineLevel="0" collapsed="false">
      <c r="A124" s="4" t="s">
        <v>64</v>
      </c>
      <c r="B124" s="4" t="s">
        <v>33</v>
      </c>
      <c r="C124" s="4" t="n">
        <v>500</v>
      </c>
      <c r="D124" s="4" t="s">
        <v>22</v>
      </c>
      <c r="E124" s="4" t="s">
        <v>33</v>
      </c>
      <c r="F124" s="7" t="s">
        <v>30</v>
      </c>
      <c r="G124" s="6" t="n">
        <v>11</v>
      </c>
      <c r="H124" s="4" t="s">
        <v>24</v>
      </c>
      <c r="I124" s="4" t="s">
        <v>31</v>
      </c>
    </row>
    <row r="125" customFormat="false" ht="15" hidden="false" customHeight="false" outlineLevel="0" collapsed="false">
      <c r="A125" s="4" t="s">
        <v>64</v>
      </c>
      <c r="B125" s="4" t="s">
        <v>33</v>
      </c>
      <c r="C125" s="4" t="n">
        <v>1000</v>
      </c>
      <c r="D125" s="4" t="s">
        <v>22</v>
      </c>
      <c r="E125" s="4" t="s">
        <v>33</v>
      </c>
      <c r="F125" s="7" t="s">
        <v>30</v>
      </c>
      <c r="G125" s="6" t="n">
        <v>7</v>
      </c>
      <c r="H125" s="4" t="s">
        <v>24</v>
      </c>
      <c r="I125" s="4" t="s">
        <v>32</v>
      </c>
    </row>
    <row r="126" customFormat="false" ht="15" hidden="false" customHeight="false" outlineLevel="0" collapsed="false">
      <c r="A126" s="4" t="s">
        <v>65</v>
      </c>
      <c r="B126" s="4" t="s">
        <v>29</v>
      </c>
      <c r="C126" s="4" t="n">
        <v>1000</v>
      </c>
      <c r="D126" s="4" t="s">
        <v>22</v>
      </c>
      <c r="E126" s="4" t="s">
        <v>29</v>
      </c>
      <c r="F126" s="7" t="s">
        <v>30</v>
      </c>
      <c r="G126" s="6" t="n">
        <v>9</v>
      </c>
      <c r="H126" s="4" t="s">
        <v>24</v>
      </c>
      <c r="I126" s="4" t="s">
        <v>32</v>
      </c>
    </row>
    <row r="127" customFormat="false" ht="15" hidden="false" customHeight="false" outlineLevel="0" collapsed="false">
      <c r="A127" s="4" t="s">
        <v>65</v>
      </c>
      <c r="B127" s="4" t="s">
        <v>33</v>
      </c>
      <c r="C127" s="4" t="n">
        <v>500</v>
      </c>
      <c r="D127" s="4" t="s">
        <v>22</v>
      </c>
      <c r="E127" s="4" t="s">
        <v>33</v>
      </c>
      <c r="F127" s="7" t="s">
        <v>30</v>
      </c>
      <c r="G127" s="6" t="n">
        <v>1</v>
      </c>
      <c r="H127" s="4" t="s">
        <v>24</v>
      </c>
      <c r="I127" s="4" t="s">
        <v>31</v>
      </c>
    </row>
    <row r="128" customFormat="false" ht="15" hidden="false" customHeight="false" outlineLevel="0" collapsed="false">
      <c r="A128" s="4" t="s">
        <v>66</v>
      </c>
      <c r="B128" s="4" t="s">
        <v>29</v>
      </c>
      <c r="C128" s="4" t="n">
        <v>1000</v>
      </c>
      <c r="D128" s="4" t="s">
        <v>22</v>
      </c>
      <c r="E128" s="4" t="s">
        <v>29</v>
      </c>
      <c r="F128" s="7" t="s">
        <v>30</v>
      </c>
      <c r="G128" s="6" t="n">
        <v>22</v>
      </c>
      <c r="H128" s="4" t="s">
        <v>24</v>
      </c>
      <c r="I128" s="4" t="s">
        <v>32</v>
      </c>
    </row>
    <row r="129" customFormat="false" ht="15" hidden="false" customHeight="false" outlineLevel="0" collapsed="false">
      <c r="A129" s="4" t="s">
        <v>66</v>
      </c>
      <c r="B129" s="4" t="s">
        <v>33</v>
      </c>
      <c r="C129" s="4" t="n">
        <v>500</v>
      </c>
      <c r="D129" s="4" t="s">
        <v>22</v>
      </c>
      <c r="E129" s="4" t="s">
        <v>33</v>
      </c>
      <c r="F129" s="7" t="s">
        <v>30</v>
      </c>
      <c r="G129" s="6" t="n">
        <v>6</v>
      </c>
      <c r="H129" s="4" t="s">
        <v>24</v>
      </c>
      <c r="I129" s="4" t="s">
        <v>31</v>
      </c>
    </row>
    <row r="130" customFormat="false" ht="15" hidden="false" customHeight="false" outlineLevel="0" collapsed="false">
      <c r="A130" s="4" t="s">
        <v>67</v>
      </c>
      <c r="B130" s="4" t="s">
        <v>29</v>
      </c>
      <c r="C130" s="4" t="n">
        <v>400</v>
      </c>
      <c r="D130" s="4" t="s">
        <v>22</v>
      </c>
      <c r="E130" s="4" t="s">
        <v>29</v>
      </c>
      <c r="F130" s="7" t="s">
        <v>30</v>
      </c>
      <c r="G130" s="6" t="n">
        <v>5</v>
      </c>
      <c r="H130" s="4" t="s">
        <v>24</v>
      </c>
      <c r="I130" s="4" t="s">
        <v>31</v>
      </c>
    </row>
    <row r="131" customFormat="false" ht="15" hidden="false" customHeight="false" outlineLevel="0" collapsed="false">
      <c r="A131" s="4" t="s">
        <v>67</v>
      </c>
      <c r="B131" s="4" t="s">
        <v>33</v>
      </c>
      <c r="C131" s="4" t="n">
        <v>500</v>
      </c>
      <c r="D131" s="4" t="s">
        <v>22</v>
      </c>
      <c r="E131" s="4" t="s">
        <v>33</v>
      </c>
      <c r="F131" s="7" t="s">
        <v>30</v>
      </c>
      <c r="G131" s="6" t="n">
        <v>6</v>
      </c>
      <c r="H131" s="4" t="s">
        <v>24</v>
      </c>
      <c r="I131" s="4" t="s">
        <v>31</v>
      </c>
    </row>
    <row r="132" customFormat="false" ht="15" hidden="false" customHeight="false" outlineLevel="0" collapsed="false">
      <c r="A132" s="4" t="s">
        <v>68</v>
      </c>
      <c r="B132" s="4" t="s">
        <v>18</v>
      </c>
      <c r="C132" s="4" t="n">
        <v>150</v>
      </c>
      <c r="D132" s="4" t="s">
        <v>22</v>
      </c>
      <c r="E132" s="4" t="s">
        <v>18</v>
      </c>
      <c r="F132" s="7" t="s">
        <v>30</v>
      </c>
      <c r="G132" s="6" t="n">
        <v>9</v>
      </c>
      <c r="H132" s="4" t="s">
        <v>24</v>
      </c>
      <c r="I132" s="4" t="s">
        <v>25</v>
      </c>
    </row>
    <row r="133" customFormat="false" ht="15" hidden="false" customHeight="false" outlineLevel="0" collapsed="false">
      <c r="A133" s="4" t="s">
        <v>69</v>
      </c>
      <c r="B133" s="4" t="s">
        <v>33</v>
      </c>
      <c r="C133" s="4" t="n">
        <v>100</v>
      </c>
      <c r="D133" s="4" t="s">
        <v>22</v>
      </c>
      <c r="E133" s="4" t="s">
        <v>33</v>
      </c>
      <c r="F133" s="7" t="s">
        <v>30</v>
      </c>
      <c r="G133" s="6" t="n">
        <v>2</v>
      </c>
      <c r="H133" s="4" t="s">
        <v>24</v>
      </c>
      <c r="I133" s="4" t="s">
        <v>34</v>
      </c>
    </row>
    <row r="134" customFormat="false" ht="15" hidden="false" customHeight="false" outlineLevel="0" collapsed="false">
      <c r="A134" s="4" t="s">
        <v>69</v>
      </c>
      <c r="B134" s="4" t="s">
        <v>18</v>
      </c>
      <c r="C134" s="4" t="n">
        <v>150</v>
      </c>
      <c r="D134" s="4" t="s">
        <v>22</v>
      </c>
      <c r="E134" s="4" t="s">
        <v>18</v>
      </c>
      <c r="F134" s="7" t="s">
        <v>30</v>
      </c>
      <c r="G134" s="6" t="n">
        <v>8</v>
      </c>
      <c r="H134" s="4" t="s">
        <v>24</v>
      </c>
      <c r="I134" s="4" t="s">
        <v>25</v>
      </c>
    </row>
    <row r="135" customFormat="false" ht="15" hidden="false" customHeight="false" outlineLevel="0" collapsed="false">
      <c r="A135" s="4" t="s">
        <v>69</v>
      </c>
      <c r="B135" s="4" t="s">
        <v>12</v>
      </c>
      <c r="C135" s="4" t="n">
        <v>15</v>
      </c>
      <c r="D135" s="4" t="s">
        <v>13</v>
      </c>
      <c r="E135" s="4" t="s">
        <v>14</v>
      </c>
      <c r="F135" s="5" t="s">
        <v>15</v>
      </c>
      <c r="G135" s="6" t="n">
        <v>100</v>
      </c>
      <c r="H135" s="4" t="s">
        <v>16</v>
      </c>
      <c r="I135" s="4" t="s">
        <v>17</v>
      </c>
    </row>
    <row r="136" customFormat="false" ht="15" hidden="false" customHeight="false" outlineLevel="0" collapsed="false">
      <c r="A136" s="4" t="s">
        <v>69</v>
      </c>
      <c r="B136" s="4" t="s">
        <v>12</v>
      </c>
      <c r="C136" s="4" t="n">
        <v>500</v>
      </c>
      <c r="D136" s="4" t="s">
        <v>22</v>
      </c>
      <c r="E136" s="4" t="s">
        <v>35</v>
      </c>
      <c r="F136" s="5" t="s">
        <v>15</v>
      </c>
      <c r="G136" s="6" t="n">
        <v>10</v>
      </c>
      <c r="H136" s="4" t="s">
        <v>24</v>
      </c>
      <c r="I136" s="4" t="s">
        <v>31</v>
      </c>
    </row>
    <row r="137" customFormat="false" ht="15" hidden="false" customHeight="false" outlineLevel="0" collapsed="false">
      <c r="A137" s="4" t="s">
        <v>69</v>
      </c>
      <c r="B137" s="4" t="s">
        <v>29</v>
      </c>
      <c r="C137" s="4" t="n">
        <v>15</v>
      </c>
      <c r="D137" s="4" t="s">
        <v>13</v>
      </c>
      <c r="E137" s="4" t="s">
        <v>36</v>
      </c>
      <c r="F137" s="5" t="s">
        <v>15</v>
      </c>
      <c r="G137" s="6" t="n">
        <v>100</v>
      </c>
      <c r="H137" s="4" t="s">
        <v>16</v>
      </c>
      <c r="I137" s="4" t="s">
        <v>17</v>
      </c>
    </row>
    <row r="138" customFormat="false" ht="15" hidden="false" customHeight="false" outlineLevel="0" collapsed="false">
      <c r="A138" s="4" t="s">
        <v>69</v>
      </c>
      <c r="B138" s="4" t="s">
        <v>29</v>
      </c>
      <c r="C138" s="4" t="n">
        <v>100</v>
      </c>
      <c r="D138" s="4" t="s">
        <v>22</v>
      </c>
      <c r="E138" s="4" t="s">
        <v>36</v>
      </c>
      <c r="F138" s="5" t="s">
        <v>15</v>
      </c>
      <c r="G138" s="6" t="n">
        <v>30</v>
      </c>
      <c r="H138" s="4" t="s">
        <v>24</v>
      </c>
      <c r="I138" s="4" t="s">
        <v>34</v>
      </c>
    </row>
    <row r="139" customFormat="false" ht="15" hidden="false" customHeight="false" outlineLevel="0" collapsed="false">
      <c r="A139" s="4" t="s">
        <v>69</v>
      </c>
      <c r="B139" s="4" t="s">
        <v>18</v>
      </c>
      <c r="C139" s="4" t="n">
        <v>250</v>
      </c>
      <c r="D139" s="4" t="s">
        <v>19</v>
      </c>
      <c r="E139" s="4" t="s">
        <v>20</v>
      </c>
      <c r="F139" s="5" t="s">
        <v>15</v>
      </c>
      <c r="G139" s="6" t="n">
        <v>8</v>
      </c>
      <c r="H139" s="4" t="s">
        <v>16</v>
      </c>
      <c r="I139" s="4" t="s">
        <v>21</v>
      </c>
    </row>
    <row r="140" customFormat="false" ht="15" hidden="false" customHeight="false" outlineLevel="0" collapsed="false">
      <c r="A140" s="4" t="s">
        <v>69</v>
      </c>
      <c r="B140" s="4" t="s">
        <v>18</v>
      </c>
      <c r="C140" s="4" t="n">
        <v>250</v>
      </c>
      <c r="D140" s="4" t="s">
        <v>22</v>
      </c>
      <c r="E140" s="4" t="s">
        <v>23</v>
      </c>
      <c r="F140" s="5" t="s">
        <v>15</v>
      </c>
      <c r="G140" s="6" t="n">
        <v>2</v>
      </c>
      <c r="H140" s="4" t="s">
        <v>24</v>
      </c>
      <c r="I140" s="4" t="s">
        <v>25</v>
      </c>
    </row>
    <row r="141" customFormat="false" ht="15" hidden="false" customHeight="false" outlineLevel="0" collapsed="false">
      <c r="A141" s="4" t="s">
        <v>69</v>
      </c>
      <c r="B141" s="4" t="s">
        <v>18</v>
      </c>
      <c r="C141" s="4" t="n">
        <v>250</v>
      </c>
      <c r="D141" s="4" t="s">
        <v>26</v>
      </c>
      <c r="E141" s="4" t="s">
        <v>27</v>
      </c>
      <c r="F141" s="5" t="s">
        <v>15</v>
      </c>
      <c r="G141" s="6" t="n">
        <v>8</v>
      </c>
      <c r="H141" s="4" t="s">
        <v>16</v>
      </c>
      <c r="I141" s="4" t="s">
        <v>21</v>
      </c>
    </row>
    <row r="142" customFormat="false" ht="15" hidden="false" customHeight="false" outlineLevel="0" collapsed="false">
      <c r="A142" s="4" t="s">
        <v>70</v>
      </c>
      <c r="B142" s="4" t="s">
        <v>12</v>
      </c>
      <c r="C142" s="4" t="n">
        <v>15</v>
      </c>
      <c r="D142" s="4" t="s">
        <v>13</v>
      </c>
      <c r="E142" s="4" t="s">
        <v>14</v>
      </c>
      <c r="F142" s="5" t="s">
        <v>15</v>
      </c>
      <c r="G142" s="6" t="n">
        <v>200</v>
      </c>
      <c r="H142" s="4" t="s">
        <v>16</v>
      </c>
      <c r="I142" s="4" t="s">
        <v>17</v>
      </c>
    </row>
    <row r="143" customFormat="false" ht="15" hidden="false" customHeight="false" outlineLevel="0" collapsed="false">
      <c r="A143" s="4" t="s">
        <v>70</v>
      </c>
      <c r="B143" s="4" t="s">
        <v>18</v>
      </c>
      <c r="C143" s="4" t="n">
        <v>250</v>
      </c>
      <c r="D143" s="4" t="s">
        <v>19</v>
      </c>
      <c r="E143" s="4" t="s">
        <v>20</v>
      </c>
      <c r="F143" s="5" t="s">
        <v>15</v>
      </c>
      <c r="G143" s="6" t="n">
        <v>18</v>
      </c>
      <c r="H143" s="4" t="s">
        <v>16</v>
      </c>
      <c r="I143" s="4" t="s">
        <v>21</v>
      </c>
    </row>
    <row r="144" customFormat="false" ht="15" hidden="false" customHeight="false" outlineLevel="0" collapsed="false">
      <c r="A144" s="4" t="s">
        <v>70</v>
      </c>
      <c r="B144" s="4" t="s">
        <v>18</v>
      </c>
      <c r="C144" s="4" t="n">
        <v>250</v>
      </c>
      <c r="D144" s="4" t="s">
        <v>22</v>
      </c>
      <c r="E144" s="4" t="s">
        <v>23</v>
      </c>
      <c r="F144" s="5" t="s">
        <v>15</v>
      </c>
      <c r="G144" s="6" t="n">
        <v>12</v>
      </c>
      <c r="H144" s="4" t="s">
        <v>24</v>
      </c>
      <c r="I144" s="4" t="s">
        <v>25</v>
      </c>
    </row>
    <row r="145" customFormat="false" ht="15" hidden="false" customHeight="false" outlineLevel="0" collapsed="false">
      <c r="A145" s="4" t="s">
        <v>70</v>
      </c>
      <c r="B145" s="4" t="s">
        <v>18</v>
      </c>
      <c r="C145" s="4" t="n">
        <v>250</v>
      </c>
      <c r="D145" s="4" t="s">
        <v>26</v>
      </c>
      <c r="E145" s="4" t="s">
        <v>27</v>
      </c>
      <c r="F145" s="5" t="s">
        <v>15</v>
      </c>
      <c r="G145" s="6" t="n">
        <v>18</v>
      </c>
      <c r="H145" s="4" t="s">
        <v>16</v>
      </c>
      <c r="I145" s="4" t="s">
        <v>21</v>
      </c>
    </row>
    <row r="146" customFormat="false" ht="15" hidden="false" customHeight="false" outlineLevel="0" collapsed="false">
      <c r="A146" s="4" t="s">
        <v>71</v>
      </c>
      <c r="B146" s="4" t="s">
        <v>29</v>
      </c>
      <c r="C146" s="4" t="n">
        <v>400</v>
      </c>
      <c r="D146" s="4" t="s">
        <v>22</v>
      </c>
      <c r="E146" s="4" t="s">
        <v>29</v>
      </c>
      <c r="F146" s="7" t="s">
        <v>30</v>
      </c>
      <c r="G146" s="6" t="n">
        <v>9</v>
      </c>
      <c r="H146" s="4" t="s">
        <v>24</v>
      </c>
      <c r="I146" s="4" t="s">
        <v>31</v>
      </c>
    </row>
    <row r="147" customFormat="false" ht="15" hidden="false" customHeight="false" outlineLevel="0" collapsed="false">
      <c r="A147" s="4" t="s">
        <v>72</v>
      </c>
      <c r="B147" s="4" t="s">
        <v>29</v>
      </c>
      <c r="C147" s="4" t="n">
        <v>400</v>
      </c>
      <c r="D147" s="4" t="s">
        <v>22</v>
      </c>
      <c r="E147" s="4" t="s">
        <v>29</v>
      </c>
      <c r="F147" s="7" t="s">
        <v>30</v>
      </c>
      <c r="G147" s="6" t="n">
        <v>26</v>
      </c>
      <c r="H147" s="4" t="s">
        <v>24</v>
      </c>
      <c r="I147" s="4" t="s">
        <v>31</v>
      </c>
    </row>
    <row r="148" customFormat="false" ht="15" hidden="false" customHeight="false" outlineLevel="0" collapsed="false">
      <c r="A148" s="4" t="s">
        <v>72</v>
      </c>
      <c r="B148" s="4" t="s">
        <v>33</v>
      </c>
      <c r="C148" s="4" t="n">
        <v>100</v>
      </c>
      <c r="D148" s="4" t="s">
        <v>22</v>
      </c>
      <c r="E148" s="4" t="s">
        <v>33</v>
      </c>
      <c r="F148" s="7" t="s">
        <v>30</v>
      </c>
      <c r="G148" s="6" t="n">
        <v>3</v>
      </c>
      <c r="H148" s="4" t="s">
        <v>24</v>
      </c>
      <c r="I148" s="4" t="s">
        <v>34</v>
      </c>
    </row>
    <row r="149" customFormat="false" ht="15" hidden="false" customHeight="false" outlineLevel="0" collapsed="false">
      <c r="A149" s="4" t="s">
        <v>72</v>
      </c>
      <c r="B149" s="4" t="s">
        <v>33</v>
      </c>
      <c r="C149" s="4" t="n">
        <v>500</v>
      </c>
      <c r="D149" s="4" t="s">
        <v>22</v>
      </c>
      <c r="E149" s="4" t="s">
        <v>33</v>
      </c>
      <c r="F149" s="7" t="s">
        <v>30</v>
      </c>
      <c r="G149" s="6" t="n">
        <v>23</v>
      </c>
      <c r="H149" s="4" t="s">
        <v>24</v>
      </c>
      <c r="I149" s="4" t="s">
        <v>31</v>
      </c>
    </row>
    <row r="150" customFormat="false" ht="15" hidden="false" customHeight="false" outlineLevel="0" collapsed="false">
      <c r="A150" s="4" t="s">
        <v>72</v>
      </c>
      <c r="B150" s="4" t="s">
        <v>33</v>
      </c>
      <c r="C150" s="4" t="n">
        <v>1000</v>
      </c>
      <c r="D150" s="4" t="s">
        <v>22</v>
      </c>
      <c r="E150" s="4" t="s">
        <v>33</v>
      </c>
      <c r="F150" s="7" t="s">
        <v>30</v>
      </c>
      <c r="G150" s="6" t="n">
        <v>3</v>
      </c>
      <c r="H150" s="4" t="s">
        <v>24</v>
      </c>
      <c r="I150" s="4" t="s">
        <v>32</v>
      </c>
    </row>
    <row r="151" customFormat="false" ht="15" hidden="false" customHeight="false" outlineLevel="0" collapsed="false">
      <c r="A151" s="4" t="s">
        <v>72</v>
      </c>
      <c r="B151" s="4" t="s">
        <v>18</v>
      </c>
      <c r="C151" s="4" t="n">
        <v>250</v>
      </c>
      <c r="D151" s="4" t="s">
        <v>22</v>
      </c>
      <c r="E151" s="4" t="s">
        <v>18</v>
      </c>
      <c r="F151" s="7" t="s">
        <v>30</v>
      </c>
      <c r="G151" s="6" t="n">
        <v>6</v>
      </c>
      <c r="H151" s="4" t="s">
        <v>24</v>
      </c>
      <c r="I151" s="4" t="s">
        <v>25</v>
      </c>
    </row>
    <row r="152" customFormat="false" ht="15" hidden="false" customHeight="false" outlineLevel="0" collapsed="false">
      <c r="A152" s="4" t="s">
        <v>73</v>
      </c>
      <c r="B152" s="4" t="s">
        <v>12</v>
      </c>
      <c r="C152" s="4" t="n">
        <v>15</v>
      </c>
      <c r="D152" s="4" t="s">
        <v>13</v>
      </c>
      <c r="E152" s="4" t="s">
        <v>14</v>
      </c>
      <c r="F152" s="5" t="s">
        <v>15</v>
      </c>
      <c r="G152" s="6" t="n">
        <v>100</v>
      </c>
      <c r="H152" s="4" t="s">
        <v>16</v>
      </c>
      <c r="I152" s="4" t="s">
        <v>17</v>
      </c>
    </row>
    <row r="153" customFormat="false" ht="15" hidden="false" customHeight="false" outlineLevel="0" collapsed="false">
      <c r="A153" s="4" t="s">
        <v>73</v>
      </c>
      <c r="B153" s="4" t="s">
        <v>12</v>
      </c>
      <c r="C153" s="4" t="n">
        <v>500</v>
      </c>
      <c r="D153" s="4" t="s">
        <v>22</v>
      </c>
      <c r="E153" s="4" t="s">
        <v>35</v>
      </c>
      <c r="F153" s="5" t="s">
        <v>15</v>
      </c>
      <c r="G153" s="6" t="n">
        <v>10</v>
      </c>
      <c r="H153" s="4" t="s">
        <v>24</v>
      </c>
      <c r="I153" s="4" t="s">
        <v>31</v>
      </c>
    </row>
    <row r="154" customFormat="false" ht="15" hidden="false" customHeight="false" outlineLevel="0" collapsed="false">
      <c r="A154" s="4" t="s">
        <v>73</v>
      </c>
      <c r="B154" s="4" t="s">
        <v>29</v>
      </c>
      <c r="C154" s="4" t="n">
        <v>15</v>
      </c>
      <c r="D154" s="4" t="s">
        <v>13</v>
      </c>
      <c r="E154" s="4" t="s">
        <v>36</v>
      </c>
      <c r="F154" s="5" t="s">
        <v>15</v>
      </c>
      <c r="G154" s="6" t="n">
        <v>100</v>
      </c>
      <c r="H154" s="4" t="s">
        <v>16</v>
      </c>
      <c r="I154" s="4" t="s">
        <v>17</v>
      </c>
    </row>
    <row r="155" customFormat="false" ht="15" hidden="false" customHeight="false" outlineLevel="0" collapsed="false">
      <c r="A155" s="4" t="s">
        <v>73</v>
      </c>
      <c r="B155" s="4" t="s">
        <v>29</v>
      </c>
      <c r="C155" s="4" t="n">
        <v>100</v>
      </c>
      <c r="D155" s="4" t="s">
        <v>22</v>
      </c>
      <c r="E155" s="4" t="s">
        <v>36</v>
      </c>
      <c r="F155" s="5" t="s">
        <v>15</v>
      </c>
      <c r="G155" s="6" t="n">
        <v>30</v>
      </c>
      <c r="H155" s="4" t="s">
        <v>24</v>
      </c>
      <c r="I155" s="4" t="s">
        <v>34</v>
      </c>
    </row>
    <row r="156" customFormat="false" ht="15" hidden="false" customHeight="false" outlineLevel="0" collapsed="false">
      <c r="A156" s="4" t="s">
        <v>73</v>
      </c>
      <c r="B156" s="4" t="s">
        <v>18</v>
      </c>
      <c r="C156" s="4" t="n">
        <v>250</v>
      </c>
      <c r="D156" s="4" t="s">
        <v>19</v>
      </c>
      <c r="E156" s="4" t="s">
        <v>20</v>
      </c>
      <c r="F156" s="5" t="s">
        <v>15</v>
      </c>
      <c r="G156" s="6" t="n">
        <v>8</v>
      </c>
      <c r="H156" s="4" t="s">
        <v>16</v>
      </c>
      <c r="I156" s="4" t="s">
        <v>21</v>
      </c>
    </row>
    <row r="157" customFormat="false" ht="15" hidden="false" customHeight="false" outlineLevel="0" collapsed="false">
      <c r="A157" s="4" t="s">
        <v>73</v>
      </c>
      <c r="B157" s="4" t="s">
        <v>18</v>
      </c>
      <c r="C157" s="4" t="n">
        <v>250</v>
      </c>
      <c r="D157" s="4" t="s">
        <v>22</v>
      </c>
      <c r="E157" s="4" t="s">
        <v>23</v>
      </c>
      <c r="F157" s="5" t="s">
        <v>15</v>
      </c>
      <c r="G157" s="6" t="n">
        <v>2</v>
      </c>
      <c r="H157" s="4" t="s">
        <v>24</v>
      </c>
      <c r="I157" s="4" t="s">
        <v>25</v>
      </c>
    </row>
    <row r="158" customFormat="false" ht="15" hidden="false" customHeight="false" outlineLevel="0" collapsed="false">
      <c r="A158" s="4" t="s">
        <v>73</v>
      </c>
      <c r="B158" s="4" t="s">
        <v>18</v>
      </c>
      <c r="C158" s="4" t="n">
        <v>250</v>
      </c>
      <c r="D158" s="4" t="s">
        <v>26</v>
      </c>
      <c r="E158" s="4" t="s">
        <v>27</v>
      </c>
      <c r="F158" s="5" t="s">
        <v>15</v>
      </c>
      <c r="G158" s="6" t="n">
        <v>8</v>
      </c>
      <c r="H158" s="4" t="s">
        <v>16</v>
      </c>
      <c r="I158" s="4" t="s">
        <v>21</v>
      </c>
    </row>
    <row r="159" customFormat="false" ht="15" hidden="false" customHeight="false" outlineLevel="0" collapsed="false">
      <c r="A159" s="4" t="s">
        <v>74</v>
      </c>
      <c r="B159" s="4" t="s">
        <v>12</v>
      </c>
      <c r="C159" s="4" t="n">
        <v>150</v>
      </c>
      <c r="D159" s="4" t="s">
        <v>22</v>
      </c>
      <c r="E159" s="4" t="s">
        <v>12</v>
      </c>
      <c r="F159" s="7" t="s">
        <v>30</v>
      </c>
      <c r="G159" s="6" t="n">
        <v>9</v>
      </c>
      <c r="H159" s="4" t="s">
        <v>24</v>
      </c>
      <c r="I159" s="4" t="s">
        <v>25</v>
      </c>
    </row>
    <row r="160" customFormat="false" ht="15" hidden="false" customHeight="false" outlineLevel="0" collapsed="false">
      <c r="A160" s="4" t="s">
        <v>74</v>
      </c>
      <c r="B160" s="4" t="s">
        <v>12</v>
      </c>
      <c r="C160" s="4" t="n">
        <v>250</v>
      </c>
      <c r="D160" s="4" t="s">
        <v>22</v>
      </c>
      <c r="E160" s="4" t="s">
        <v>12</v>
      </c>
      <c r="F160" s="7" t="s">
        <v>30</v>
      </c>
      <c r="G160" s="6" t="n">
        <v>99</v>
      </c>
      <c r="H160" s="4" t="s">
        <v>24</v>
      </c>
      <c r="I160" s="4" t="s">
        <v>25</v>
      </c>
    </row>
    <row r="161" customFormat="false" ht="15" hidden="false" customHeight="false" outlineLevel="0" collapsed="false">
      <c r="A161" s="4" t="s">
        <v>74</v>
      </c>
      <c r="B161" s="4" t="s">
        <v>29</v>
      </c>
      <c r="C161" s="4" t="n">
        <v>160</v>
      </c>
      <c r="D161" s="4" t="s">
        <v>22</v>
      </c>
      <c r="E161" s="4" t="s">
        <v>29</v>
      </c>
      <c r="F161" s="7" t="s">
        <v>30</v>
      </c>
      <c r="G161" s="6" t="n">
        <v>9</v>
      </c>
      <c r="H161" s="4" t="s">
        <v>24</v>
      </c>
      <c r="I161" s="8"/>
    </row>
    <row r="162" customFormat="false" ht="15" hidden="false" customHeight="false" outlineLevel="0" collapsed="false">
      <c r="A162" s="4" t="s">
        <v>74</v>
      </c>
      <c r="B162" s="4" t="s">
        <v>29</v>
      </c>
      <c r="C162" s="4" t="n">
        <v>400</v>
      </c>
      <c r="D162" s="4" t="s">
        <v>22</v>
      </c>
      <c r="E162" s="4" t="s">
        <v>29</v>
      </c>
      <c r="F162" s="7" t="s">
        <v>30</v>
      </c>
      <c r="G162" s="6" t="n">
        <v>18</v>
      </c>
      <c r="H162" s="4" t="s">
        <v>24</v>
      </c>
      <c r="I162" s="4" t="s">
        <v>31</v>
      </c>
    </row>
    <row r="163" customFormat="false" ht="15" hidden="false" customHeight="false" outlineLevel="0" collapsed="false">
      <c r="A163" s="4" t="s">
        <v>74</v>
      </c>
      <c r="B163" s="4" t="s">
        <v>33</v>
      </c>
      <c r="C163" s="4" t="n">
        <v>100</v>
      </c>
      <c r="D163" s="4" t="s">
        <v>22</v>
      </c>
      <c r="E163" s="4" t="s">
        <v>33</v>
      </c>
      <c r="F163" s="7" t="s">
        <v>30</v>
      </c>
      <c r="G163" s="6" t="n">
        <v>14</v>
      </c>
      <c r="H163" s="4" t="s">
        <v>24</v>
      </c>
      <c r="I163" s="4" t="s">
        <v>34</v>
      </c>
    </row>
    <row r="164" customFormat="false" ht="15" hidden="false" customHeight="false" outlineLevel="0" collapsed="false">
      <c r="A164" s="4" t="s">
        <v>74</v>
      </c>
      <c r="B164" s="4" t="s">
        <v>33</v>
      </c>
      <c r="C164" s="4" t="n">
        <v>500</v>
      </c>
      <c r="D164" s="4" t="s">
        <v>22</v>
      </c>
      <c r="E164" s="4" t="s">
        <v>33</v>
      </c>
      <c r="F164" s="7" t="s">
        <v>30</v>
      </c>
      <c r="G164" s="6" t="n">
        <v>9</v>
      </c>
      <c r="H164" s="4" t="s">
        <v>24</v>
      </c>
      <c r="I164" s="4" t="s">
        <v>31</v>
      </c>
    </row>
    <row r="165" customFormat="false" ht="15" hidden="false" customHeight="false" outlineLevel="0" collapsed="false">
      <c r="A165" s="4" t="s">
        <v>75</v>
      </c>
      <c r="B165" s="4" t="s">
        <v>18</v>
      </c>
      <c r="C165" s="4" t="n">
        <v>100</v>
      </c>
      <c r="D165" s="4" t="s">
        <v>22</v>
      </c>
      <c r="E165" s="4" t="s">
        <v>76</v>
      </c>
      <c r="F165" s="5" t="s">
        <v>15</v>
      </c>
      <c r="G165" s="6" t="n">
        <v>150</v>
      </c>
      <c r="H165" s="4" t="s">
        <v>24</v>
      </c>
      <c r="I165" s="4" t="s">
        <v>34</v>
      </c>
    </row>
    <row r="166" customFormat="false" ht="15" hidden="false" customHeight="false" outlineLevel="0" collapsed="false">
      <c r="A166" s="4" t="s">
        <v>77</v>
      </c>
      <c r="B166" s="4" t="s">
        <v>33</v>
      </c>
      <c r="C166" s="4" t="n">
        <v>1000</v>
      </c>
      <c r="D166" s="4" t="s">
        <v>22</v>
      </c>
      <c r="E166" s="4" t="s">
        <v>33</v>
      </c>
      <c r="F166" s="7" t="s">
        <v>30</v>
      </c>
      <c r="G166" s="6" t="n">
        <v>9</v>
      </c>
      <c r="H166" s="4" t="s">
        <v>24</v>
      </c>
      <c r="I166" s="4" t="s">
        <v>32</v>
      </c>
    </row>
    <row r="167" customFormat="false" ht="15" hidden="false" customHeight="false" outlineLevel="0" collapsed="false">
      <c r="A167" s="4" t="s">
        <v>78</v>
      </c>
      <c r="B167" s="4" t="s">
        <v>12</v>
      </c>
      <c r="C167" s="4" t="n">
        <v>15</v>
      </c>
      <c r="D167" s="4" t="s">
        <v>13</v>
      </c>
      <c r="E167" s="4" t="s">
        <v>14</v>
      </c>
      <c r="F167" s="5" t="s">
        <v>15</v>
      </c>
      <c r="G167" s="6" t="n">
        <v>200</v>
      </c>
      <c r="H167" s="4" t="s">
        <v>16</v>
      </c>
      <c r="I167" s="4" t="s">
        <v>17</v>
      </c>
    </row>
    <row r="168" customFormat="false" ht="15" hidden="false" customHeight="false" outlineLevel="0" collapsed="false">
      <c r="A168" s="4" t="s">
        <v>78</v>
      </c>
      <c r="B168" s="4" t="s">
        <v>18</v>
      </c>
      <c r="C168" s="4" t="n">
        <v>250</v>
      </c>
      <c r="D168" s="4" t="s">
        <v>19</v>
      </c>
      <c r="E168" s="4" t="s">
        <v>20</v>
      </c>
      <c r="F168" s="5" t="s">
        <v>15</v>
      </c>
      <c r="G168" s="6" t="n">
        <v>18</v>
      </c>
      <c r="H168" s="4" t="s">
        <v>16</v>
      </c>
      <c r="I168" s="4" t="s">
        <v>21</v>
      </c>
    </row>
    <row r="169" customFormat="false" ht="15" hidden="false" customHeight="false" outlineLevel="0" collapsed="false">
      <c r="A169" s="4" t="s">
        <v>78</v>
      </c>
      <c r="B169" s="4" t="s">
        <v>18</v>
      </c>
      <c r="C169" s="4" t="n">
        <v>250</v>
      </c>
      <c r="D169" s="4" t="s">
        <v>22</v>
      </c>
      <c r="E169" s="4" t="s">
        <v>23</v>
      </c>
      <c r="F169" s="5" t="s">
        <v>15</v>
      </c>
      <c r="G169" s="6" t="n">
        <v>12</v>
      </c>
      <c r="H169" s="4" t="s">
        <v>24</v>
      </c>
      <c r="I169" s="4" t="s">
        <v>25</v>
      </c>
    </row>
    <row r="170" customFormat="false" ht="15" hidden="false" customHeight="false" outlineLevel="0" collapsed="false">
      <c r="A170" s="4" t="s">
        <v>78</v>
      </c>
      <c r="B170" s="4" t="s">
        <v>18</v>
      </c>
      <c r="C170" s="4" t="n">
        <v>250</v>
      </c>
      <c r="D170" s="4" t="s">
        <v>26</v>
      </c>
      <c r="E170" s="4" t="s">
        <v>27</v>
      </c>
      <c r="F170" s="5" t="s">
        <v>15</v>
      </c>
      <c r="G170" s="6" t="n">
        <v>18</v>
      </c>
      <c r="H170" s="4" t="s">
        <v>16</v>
      </c>
      <c r="I170" s="4" t="s">
        <v>21</v>
      </c>
    </row>
    <row r="171" customFormat="false" ht="15" hidden="false" customHeight="false" outlineLevel="0" collapsed="false">
      <c r="A171" s="4" t="s">
        <v>79</v>
      </c>
      <c r="B171" s="4" t="s">
        <v>29</v>
      </c>
      <c r="C171" s="4" t="n">
        <v>1000</v>
      </c>
      <c r="D171" s="4" t="s">
        <v>22</v>
      </c>
      <c r="E171" s="4" t="s">
        <v>29</v>
      </c>
      <c r="F171" s="7" t="s">
        <v>30</v>
      </c>
      <c r="G171" s="6" t="n">
        <v>4</v>
      </c>
      <c r="H171" s="4" t="s">
        <v>24</v>
      </c>
      <c r="I171" s="4" t="s">
        <v>32</v>
      </c>
    </row>
    <row r="172" customFormat="false" ht="15" hidden="false" customHeight="false" outlineLevel="0" collapsed="false">
      <c r="A172" s="4" t="s">
        <v>80</v>
      </c>
      <c r="B172" s="4" t="s">
        <v>29</v>
      </c>
      <c r="C172" s="4" t="n">
        <v>400</v>
      </c>
      <c r="D172" s="4" t="s">
        <v>22</v>
      </c>
      <c r="E172" s="4" t="s">
        <v>29</v>
      </c>
      <c r="F172" s="7" t="s">
        <v>30</v>
      </c>
      <c r="G172" s="6" t="n">
        <v>9</v>
      </c>
      <c r="H172" s="4" t="s">
        <v>24</v>
      </c>
      <c r="I172" s="4" t="s">
        <v>31</v>
      </c>
    </row>
    <row r="173" customFormat="false" ht="15" hidden="false" customHeight="false" outlineLevel="0" collapsed="false">
      <c r="A173" s="4" t="s">
        <v>80</v>
      </c>
      <c r="B173" s="4" t="s">
        <v>33</v>
      </c>
      <c r="C173" s="4" t="n">
        <v>100</v>
      </c>
      <c r="D173" s="4" t="s">
        <v>22</v>
      </c>
      <c r="E173" s="4" t="s">
        <v>33</v>
      </c>
      <c r="F173" s="7" t="s">
        <v>30</v>
      </c>
      <c r="G173" s="6" t="n">
        <v>9</v>
      </c>
      <c r="H173" s="4" t="s">
        <v>24</v>
      </c>
      <c r="I173" s="4" t="s">
        <v>34</v>
      </c>
    </row>
    <row r="174" customFormat="false" ht="15" hidden="false" customHeight="false" outlineLevel="0" collapsed="false">
      <c r="A174" s="4" t="s">
        <v>80</v>
      </c>
      <c r="B174" s="4" t="s">
        <v>33</v>
      </c>
      <c r="C174" s="4" t="n">
        <v>500</v>
      </c>
      <c r="D174" s="4" t="s">
        <v>22</v>
      </c>
      <c r="E174" s="4" t="s">
        <v>33</v>
      </c>
      <c r="F174" s="7" t="s">
        <v>30</v>
      </c>
      <c r="G174" s="6" t="n">
        <v>9</v>
      </c>
      <c r="H174" s="4" t="s">
        <v>24</v>
      </c>
      <c r="I174" s="4" t="s">
        <v>31</v>
      </c>
    </row>
    <row r="175" customFormat="false" ht="15" hidden="false" customHeight="false" outlineLevel="0" collapsed="false">
      <c r="A175" s="4" t="s">
        <v>81</v>
      </c>
      <c r="B175" s="4" t="s">
        <v>12</v>
      </c>
      <c r="C175" s="4" t="n">
        <v>15</v>
      </c>
      <c r="D175" s="4" t="s">
        <v>13</v>
      </c>
      <c r="E175" s="4" t="s">
        <v>14</v>
      </c>
      <c r="F175" s="5" t="s">
        <v>15</v>
      </c>
      <c r="G175" s="6" t="n">
        <v>200</v>
      </c>
      <c r="H175" s="4" t="s">
        <v>16</v>
      </c>
      <c r="I175" s="4" t="s">
        <v>17</v>
      </c>
    </row>
    <row r="176" customFormat="false" ht="15" hidden="false" customHeight="false" outlineLevel="0" collapsed="false">
      <c r="A176" s="4" t="s">
        <v>81</v>
      </c>
      <c r="B176" s="4" t="s">
        <v>18</v>
      </c>
      <c r="C176" s="4" t="n">
        <v>250</v>
      </c>
      <c r="D176" s="4" t="s">
        <v>19</v>
      </c>
      <c r="E176" s="4" t="s">
        <v>20</v>
      </c>
      <c r="F176" s="5" t="s">
        <v>15</v>
      </c>
      <c r="G176" s="6" t="n">
        <v>18</v>
      </c>
      <c r="H176" s="4" t="s">
        <v>16</v>
      </c>
      <c r="I176" s="4" t="s">
        <v>21</v>
      </c>
    </row>
    <row r="177" customFormat="false" ht="15" hidden="false" customHeight="false" outlineLevel="0" collapsed="false">
      <c r="A177" s="4" t="s">
        <v>81</v>
      </c>
      <c r="B177" s="4" t="s">
        <v>18</v>
      </c>
      <c r="C177" s="4" t="n">
        <v>250</v>
      </c>
      <c r="D177" s="4" t="s">
        <v>22</v>
      </c>
      <c r="E177" s="4" t="s">
        <v>23</v>
      </c>
      <c r="F177" s="5" t="s">
        <v>15</v>
      </c>
      <c r="G177" s="6" t="n">
        <v>12</v>
      </c>
      <c r="H177" s="4" t="s">
        <v>24</v>
      </c>
      <c r="I177" s="4" t="s">
        <v>25</v>
      </c>
    </row>
    <row r="178" customFormat="false" ht="15" hidden="false" customHeight="false" outlineLevel="0" collapsed="false">
      <c r="A178" s="4" t="s">
        <v>81</v>
      </c>
      <c r="B178" s="4" t="s">
        <v>18</v>
      </c>
      <c r="C178" s="4" t="n">
        <v>250</v>
      </c>
      <c r="D178" s="4" t="s">
        <v>26</v>
      </c>
      <c r="E178" s="4" t="s">
        <v>27</v>
      </c>
      <c r="F178" s="5" t="s">
        <v>15</v>
      </c>
      <c r="G178" s="6" t="n">
        <v>18</v>
      </c>
      <c r="H178" s="4" t="s">
        <v>16</v>
      </c>
      <c r="I178" s="4" t="s">
        <v>21</v>
      </c>
    </row>
    <row r="179" customFormat="false" ht="15" hidden="false" customHeight="false" outlineLevel="0" collapsed="false">
      <c r="A179" s="4" t="s">
        <v>82</v>
      </c>
      <c r="B179" s="4" t="s">
        <v>29</v>
      </c>
      <c r="C179" s="4" t="n">
        <v>400</v>
      </c>
      <c r="D179" s="4" t="s">
        <v>22</v>
      </c>
      <c r="E179" s="4" t="s">
        <v>29</v>
      </c>
      <c r="F179" s="7" t="s">
        <v>30</v>
      </c>
      <c r="G179" s="6" t="n">
        <v>1</v>
      </c>
      <c r="H179" s="4" t="s">
        <v>24</v>
      </c>
      <c r="I179" s="4" t="s">
        <v>31</v>
      </c>
    </row>
    <row r="180" customFormat="false" ht="15" hidden="false" customHeight="false" outlineLevel="0" collapsed="false">
      <c r="A180" s="4" t="s">
        <v>82</v>
      </c>
      <c r="B180" s="4" t="s">
        <v>33</v>
      </c>
      <c r="C180" s="4" t="n">
        <v>500</v>
      </c>
      <c r="D180" s="4" t="s">
        <v>22</v>
      </c>
      <c r="E180" s="4" t="s">
        <v>33</v>
      </c>
      <c r="F180" s="7" t="s">
        <v>30</v>
      </c>
      <c r="G180" s="6" t="n">
        <v>10</v>
      </c>
      <c r="H180" s="4" t="s">
        <v>24</v>
      </c>
      <c r="I180" s="4" t="s">
        <v>31</v>
      </c>
    </row>
    <row r="181" customFormat="false" ht="15" hidden="false" customHeight="false" outlineLevel="0" collapsed="false">
      <c r="A181" s="4" t="s">
        <v>83</v>
      </c>
      <c r="B181" s="4" t="s">
        <v>29</v>
      </c>
      <c r="C181" s="4" t="n">
        <v>200</v>
      </c>
      <c r="D181" s="4" t="s">
        <v>22</v>
      </c>
      <c r="E181" s="4" t="s">
        <v>29</v>
      </c>
      <c r="F181" s="7" t="s">
        <v>30</v>
      </c>
      <c r="G181" s="6" t="n">
        <v>2</v>
      </c>
      <c r="H181" s="4" t="s">
        <v>24</v>
      </c>
      <c r="I181" s="8"/>
    </row>
    <row r="182" customFormat="false" ht="15" hidden="false" customHeight="false" outlineLevel="0" collapsed="false">
      <c r="A182" s="4" t="s">
        <v>83</v>
      </c>
      <c r="B182" s="4" t="s">
        <v>29</v>
      </c>
      <c r="C182" s="4" t="n">
        <v>400</v>
      </c>
      <c r="D182" s="4" t="s">
        <v>22</v>
      </c>
      <c r="E182" s="4" t="s">
        <v>29</v>
      </c>
      <c r="F182" s="7" t="s">
        <v>30</v>
      </c>
      <c r="G182" s="6" t="n">
        <v>11</v>
      </c>
      <c r="H182" s="4" t="s">
        <v>24</v>
      </c>
      <c r="I182" s="4" t="s">
        <v>31</v>
      </c>
    </row>
    <row r="183" customFormat="false" ht="15" hidden="false" customHeight="false" outlineLevel="0" collapsed="false">
      <c r="A183" s="4" t="s">
        <v>83</v>
      </c>
      <c r="B183" s="4" t="s">
        <v>29</v>
      </c>
      <c r="C183" s="4" t="n">
        <v>1000</v>
      </c>
      <c r="D183" s="4" t="s">
        <v>22</v>
      </c>
      <c r="E183" s="4" t="s">
        <v>29</v>
      </c>
      <c r="F183" s="7" t="s">
        <v>30</v>
      </c>
      <c r="G183" s="6" t="n">
        <v>4</v>
      </c>
      <c r="H183" s="4" t="s">
        <v>24</v>
      </c>
      <c r="I183" s="4" t="s">
        <v>32</v>
      </c>
    </row>
    <row r="184" customFormat="false" ht="15" hidden="false" customHeight="false" outlineLevel="0" collapsed="false">
      <c r="A184" s="4" t="s">
        <v>83</v>
      </c>
      <c r="B184" s="4" t="s">
        <v>33</v>
      </c>
      <c r="C184" s="4" t="n">
        <v>100</v>
      </c>
      <c r="D184" s="4" t="s">
        <v>22</v>
      </c>
      <c r="E184" s="4" t="s">
        <v>33</v>
      </c>
      <c r="F184" s="7" t="s">
        <v>30</v>
      </c>
      <c r="G184" s="6" t="n">
        <v>4</v>
      </c>
      <c r="H184" s="4" t="s">
        <v>24</v>
      </c>
      <c r="I184" s="4" t="s">
        <v>34</v>
      </c>
    </row>
    <row r="185" customFormat="false" ht="15" hidden="false" customHeight="false" outlineLevel="0" collapsed="false">
      <c r="A185" s="4" t="s">
        <v>83</v>
      </c>
      <c r="B185" s="4" t="s">
        <v>33</v>
      </c>
      <c r="C185" s="4" t="n">
        <v>500</v>
      </c>
      <c r="D185" s="4" t="s">
        <v>22</v>
      </c>
      <c r="E185" s="4" t="s">
        <v>33</v>
      </c>
      <c r="F185" s="7" t="s">
        <v>30</v>
      </c>
      <c r="G185" s="6" t="n">
        <v>24</v>
      </c>
      <c r="H185" s="4" t="s">
        <v>24</v>
      </c>
      <c r="I185" s="4" t="s">
        <v>31</v>
      </c>
    </row>
    <row r="186" customFormat="false" ht="15" hidden="false" customHeight="false" outlineLevel="0" collapsed="false">
      <c r="A186" s="4" t="s">
        <v>84</v>
      </c>
      <c r="B186" s="4" t="s">
        <v>29</v>
      </c>
      <c r="C186" s="4" t="n">
        <v>160</v>
      </c>
      <c r="D186" s="4" t="s">
        <v>22</v>
      </c>
      <c r="E186" s="4" t="s">
        <v>29</v>
      </c>
      <c r="F186" s="7" t="s">
        <v>30</v>
      </c>
      <c r="G186" s="6" t="n">
        <v>24</v>
      </c>
      <c r="H186" s="4" t="s">
        <v>24</v>
      </c>
      <c r="I186" s="8"/>
    </row>
    <row r="187" customFormat="false" ht="15" hidden="false" customHeight="false" outlineLevel="0" collapsed="false">
      <c r="A187" s="4" t="s">
        <v>84</v>
      </c>
      <c r="B187" s="4" t="s">
        <v>29</v>
      </c>
      <c r="C187" s="4" t="n">
        <v>400</v>
      </c>
      <c r="D187" s="4" t="s">
        <v>22</v>
      </c>
      <c r="E187" s="4" t="s">
        <v>29</v>
      </c>
      <c r="F187" s="7" t="s">
        <v>30</v>
      </c>
      <c r="G187" s="6" t="n">
        <v>24</v>
      </c>
      <c r="H187" s="4" t="s">
        <v>24</v>
      </c>
      <c r="I187" s="4" t="s">
        <v>31</v>
      </c>
    </row>
    <row r="188" customFormat="false" ht="15" hidden="false" customHeight="false" outlineLevel="0" collapsed="false">
      <c r="A188" s="4" t="s">
        <v>84</v>
      </c>
      <c r="B188" s="4" t="s">
        <v>29</v>
      </c>
      <c r="C188" s="4" t="n">
        <v>1000</v>
      </c>
      <c r="D188" s="4" t="s">
        <v>22</v>
      </c>
      <c r="E188" s="4" t="s">
        <v>29</v>
      </c>
      <c r="F188" s="7" t="s">
        <v>30</v>
      </c>
      <c r="G188" s="6" t="n">
        <v>20</v>
      </c>
      <c r="H188" s="4" t="s">
        <v>24</v>
      </c>
      <c r="I188" s="4" t="s">
        <v>32</v>
      </c>
    </row>
    <row r="189" customFormat="false" ht="15" hidden="false" customHeight="false" outlineLevel="0" collapsed="false">
      <c r="A189" s="4" t="s">
        <v>84</v>
      </c>
      <c r="B189" s="4" t="s">
        <v>33</v>
      </c>
      <c r="C189" s="4" t="n">
        <v>100</v>
      </c>
      <c r="D189" s="4" t="s">
        <v>22</v>
      </c>
      <c r="E189" s="4" t="s">
        <v>33</v>
      </c>
      <c r="F189" s="7" t="s">
        <v>30</v>
      </c>
      <c r="G189" s="6" t="n">
        <v>12</v>
      </c>
      <c r="H189" s="4" t="s">
        <v>24</v>
      </c>
      <c r="I189" s="4" t="s">
        <v>34</v>
      </c>
    </row>
    <row r="190" customFormat="false" ht="15" hidden="false" customHeight="false" outlineLevel="0" collapsed="false">
      <c r="A190" s="4" t="s">
        <v>84</v>
      </c>
      <c r="B190" s="4" t="s">
        <v>33</v>
      </c>
      <c r="C190" s="4" t="n">
        <v>500</v>
      </c>
      <c r="D190" s="4" t="s">
        <v>22</v>
      </c>
      <c r="E190" s="4" t="s">
        <v>33</v>
      </c>
      <c r="F190" s="7" t="s">
        <v>30</v>
      </c>
      <c r="G190" s="6" t="n">
        <v>40</v>
      </c>
      <c r="H190" s="4" t="s">
        <v>24</v>
      </c>
      <c r="I190" s="4" t="s">
        <v>31</v>
      </c>
    </row>
    <row r="191" customFormat="false" ht="15" hidden="false" customHeight="false" outlineLevel="0" collapsed="false">
      <c r="A191" s="4" t="s">
        <v>85</v>
      </c>
      <c r="B191" s="4" t="s">
        <v>12</v>
      </c>
      <c r="C191" s="4" t="n">
        <v>15</v>
      </c>
      <c r="D191" s="4" t="s">
        <v>13</v>
      </c>
      <c r="E191" s="4" t="s">
        <v>14</v>
      </c>
      <c r="F191" s="5" t="s">
        <v>15</v>
      </c>
      <c r="G191" s="6" t="n">
        <v>200</v>
      </c>
      <c r="H191" s="4" t="s">
        <v>16</v>
      </c>
      <c r="I191" s="4" t="s">
        <v>17</v>
      </c>
    </row>
    <row r="192" customFormat="false" ht="15" hidden="false" customHeight="false" outlineLevel="0" collapsed="false">
      <c r="A192" s="4" t="s">
        <v>85</v>
      </c>
      <c r="B192" s="4" t="s">
        <v>18</v>
      </c>
      <c r="C192" s="4" t="n">
        <v>250</v>
      </c>
      <c r="D192" s="4" t="s">
        <v>19</v>
      </c>
      <c r="E192" s="4" t="s">
        <v>20</v>
      </c>
      <c r="F192" s="5" t="s">
        <v>15</v>
      </c>
      <c r="G192" s="6" t="n">
        <v>18</v>
      </c>
      <c r="H192" s="4" t="s">
        <v>16</v>
      </c>
      <c r="I192" s="4" t="s">
        <v>21</v>
      </c>
    </row>
    <row r="193" customFormat="false" ht="15" hidden="false" customHeight="false" outlineLevel="0" collapsed="false">
      <c r="A193" s="4" t="s">
        <v>85</v>
      </c>
      <c r="B193" s="4" t="s">
        <v>18</v>
      </c>
      <c r="C193" s="4" t="n">
        <v>250</v>
      </c>
      <c r="D193" s="4" t="s">
        <v>22</v>
      </c>
      <c r="E193" s="4" t="s">
        <v>23</v>
      </c>
      <c r="F193" s="5" t="s">
        <v>15</v>
      </c>
      <c r="G193" s="6" t="n">
        <v>12</v>
      </c>
      <c r="H193" s="4" t="s">
        <v>24</v>
      </c>
      <c r="I193" s="4" t="s">
        <v>25</v>
      </c>
    </row>
    <row r="194" customFormat="false" ht="15" hidden="false" customHeight="false" outlineLevel="0" collapsed="false">
      <c r="A194" s="4" t="s">
        <v>85</v>
      </c>
      <c r="B194" s="4" t="s">
        <v>18</v>
      </c>
      <c r="C194" s="4" t="n">
        <v>250</v>
      </c>
      <c r="D194" s="4" t="s">
        <v>26</v>
      </c>
      <c r="E194" s="4" t="s">
        <v>27</v>
      </c>
      <c r="F194" s="5" t="s">
        <v>15</v>
      </c>
      <c r="G194" s="6" t="n">
        <v>18</v>
      </c>
      <c r="H194" s="4" t="s">
        <v>16</v>
      </c>
      <c r="I194" s="4" t="s">
        <v>21</v>
      </c>
    </row>
    <row r="195" customFormat="false" ht="15" hidden="false" customHeight="false" outlineLevel="0" collapsed="false">
      <c r="A195" s="4" t="s">
        <v>86</v>
      </c>
      <c r="B195" s="4" t="s">
        <v>29</v>
      </c>
      <c r="C195" s="4" t="n">
        <v>400</v>
      </c>
      <c r="D195" s="4" t="s">
        <v>22</v>
      </c>
      <c r="E195" s="4" t="s">
        <v>29</v>
      </c>
      <c r="F195" s="7" t="s">
        <v>30</v>
      </c>
      <c r="G195" s="6" t="n">
        <v>101</v>
      </c>
      <c r="H195" s="4" t="s">
        <v>24</v>
      </c>
      <c r="I195" s="4" t="s">
        <v>31</v>
      </c>
    </row>
    <row r="196" customFormat="false" ht="15" hidden="false" customHeight="false" outlineLevel="0" collapsed="false">
      <c r="A196" s="4" t="s">
        <v>86</v>
      </c>
      <c r="B196" s="4" t="s">
        <v>33</v>
      </c>
      <c r="C196" s="4" t="n">
        <v>500</v>
      </c>
      <c r="D196" s="4" t="s">
        <v>22</v>
      </c>
      <c r="E196" s="4" t="s">
        <v>33</v>
      </c>
      <c r="F196" s="7" t="s">
        <v>30</v>
      </c>
      <c r="G196" s="6" t="n">
        <v>10</v>
      </c>
      <c r="H196" s="4" t="s">
        <v>24</v>
      </c>
      <c r="I196" s="4" t="s">
        <v>31</v>
      </c>
    </row>
    <row r="197" customFormat="false" ht="15" hidden="false" customHeight="false" outlineLevel="0" collapsed="false">
      <c r="A197" s="4" t="s">
        <v>87</v>
      </c>
      <c r="B197" s="4" t="s">
        <v>29</v>
      </c>
      <c r="C197" s="4" t="n">
        <v>400</v>
      </c>
      <c r="D197" s="4" t="s">
        <v>22</v>
      </c>
      <c r="E197" s="4" t="s">
        <v>29</v>
      </c>
      <c r="F197" s="7" t="s">
        <v>30</v>
      </c>
      <c r="G197" s="6" t="n">
        <v>2</v>
      </c>
      <c r="H197" s="4" t="s">
        <v>24</v>
      </c>
      <c r="I197" s="4" t="s">
        <v>31</v>
      </c>
    </row>
    <row r="198" customFormat="false" ht="15" hidden="false" customHeight="false" outlineLevel="0" collapsed="false">
      <c r="A198" s="4" t="s">
        <v>87</v>
      </c>
      <c r="B198" s="4" t="s">
        <v>33</v>
      </c>
      <c r="C198" s="4" t="n">
        <v>100</v>
      </c>
      <c r="D198" s="4" t="s">
        <v>22</v>
      </c>
      <c r="E198" s="4" t="s">
        <v>33</v>
      </c>
      <c r="F198" s="7" t="s">
        <v>30</v>
      </c>
      <c r="G198" s="6" t="n">
        <v>2</v>
      </c>
      <c r="H198" s="4" t="s">
        <v>24</v>
      </c>
      <c r="I198" s="4" t="s">
        <v>34</v>
      </c>
    </row>
    <row r="199" customFormat="false" ht="15" hidden="false" customHeight="false" outlineLevel="0" collapsed="false">
      <c r="A199" s="4" t="s">
        <v>88</v>
      </c>
      <c r="B199" s="4" t="s">
        <v>12</v>
      </c>
      <c r="C199" s="4" t="n">
        <v>15</v>
      </c>
      <c r="D199" s="4" t="s">
        <v>13</v>
      </c>
      <c r="E199" s="4" t="s">
        <v>14</v>
      </c>
      <c r="F199" s="5" t="s">
        <v>15</v>
      </c>
      <c r="G199" s="6" t="n">
        <v>200</v>
      </c>
      <c r="H199" s="4" t="s">
        <v>16</v>
      </c>
      <c r="I199" s="4" t="s">
        <v>17</v>
      </c>
    </row>
    <row r="200" customFormat="false" ht="15" hidden="false" customHeight="false" outlineLevel="0" collapsed="false">
      <c r="A200" s="4" t="s">
        <v>88</v>
      </c>
      <c r="B200" s="4" t="s">
        <v>18</v>
      </c>
      <c r="C200" s="4" t="n">
        <v>250</v>
      </c>
      <c r="D200" s="4" t="s">
        <v>19</v>
      </c>
      <c r="E200" s="4" t="s">
        <v>20</v>
      </c>
      <c r="F200" s="5" t="s">
        <v>15</v>
      </c>
      <c r="G200" s="6" t="n">
        <v>18</v>
      </c>
      <c r="H200" s="4" t="s">
        <v>16</v>
      </c>
      <c r="I200" s="4" t="s">
        <v>21</v>
      </c>
    </row>
    <row r="201" customFormat="false" ht="15" hidden="false" customHeight="false" outlineLevel="0" collapsed="false">
      <c r="A201" s="4" t="s">
        <v>88</v>
      </c>
      <c r="B201" s="4" t="s">
        <v>18</v>
      </c>
      <c r="C201" s="4" t="n">
        <v>250</v>
      </c>
      <c r="D201" s="4" t="s">
        <v>22</v>
      </c>
      <c r="E201" s="4" t="s">
        <v>23</v>
      </c>
      <c r="F201" s="5" t="s">
        <v>15</v>
      </c>
      <c r="G201" s="6" t="n">
        <v>12</v>
      </c>
      <c r="H201" s="4" t="s">
        <v>24</v>
      </c>
      <c r="I201" s="4" t="s">
        <v>25</v>
      </c>
    </row>
    <row r="202" customFormat="false" ht="15" hidden="false" customHeight="false" outlineLevel="0" collapsed="false">
      <c r="A202" s="4" t="s">
        <v>88</v>
      </c>
      <c r="B202" s="4" t="s">
        <v>18</v>
      </c>
      <c r="C202" s="4" t="n">
        <v>250</v>
      </c>
      <c r="D202" s="4" t="s">
        <v>26</v>
      </c>
      <c r="E202" s="4" t="s">
        <v>27</v>
      </c>
      <c r="F202" s="5" t="s">
        <v>15</v>
      </c>
      <c r="G202" s="6" t="n">
        <v>18</v>
      </c>
      <c r="H202" s="4" t="s">
        <v>16</v>
      </c>
      <c r="I202" s="4" t="s">
        <v>21</v>
      </c>
    </row>
    <row r="203" customFormat="false" ht="15" hidden="false" customHeight="false" outlineLevel="0" collapsed="false">
      <c r="A203" s="4" t="s">
        <v>89</v>
      </c>
      <c r="B203" s="4" t="s">
        <v>12</v>
      </c>
      <c r="C203" s="4" t="n">
        <v>15</v>
      </c>
      <c r="D203" s="4" t="s">
        <v>13</v>
      </c>
      <c r="E203" s="4" t="s">
        <v>14</v>
      </c>
      <c r="F203" s="5" t="s">
        <v>15</v>
      </c>
      <c r="G203" s="6" t="n">
        <v>200</v>
      </c>
      <c r="H203" s="4" t="s">
        <v>16</v>
      </c>
      <c r="I203" s="4" t="s">
        <v>17</v>
      </c>
    </row>
    <row r="204" customFormat="false" ht="15" hidden="false" customHeight="false" outlineLevel="0" collapsed="false">
      <c r="A204" s="4" t="s">
        <v>89</v>
      </c>
      <c r="B204" s="4" t="s">
        <v>18</v>
      </c>
      <c r="C204" s="4" t="n">
        <v>250</v>
      </c>
      <c r="D204" s="4" t="s">
        <v>19</v>
      </c>
      <c r="E204" s="4" t="s">
        <v>20</v>
      </c>
      <c r="F204" s="5" t="s">
        <v>15</v>
      </c>
      <c r="G204" s="6" t="n">
        <v>18</v>
      </c>
      <c r="H204" s="4" t="s">
        <v>16</v>
      </c>
      <c r="I204" s="4" t="s">
        <v>21</v>
      </c>
    </row>
    <row r="205" customFormat="false" ht="15" hidden="false" customHeight="false" outlineLevel="0" collapsed="false">
      <c r="A205" s="4" t="s">
        <v>89</v>
      </c>
      <c r="B205" s="4" t="s">
        <v>18</v>
      </c>
      <c r="C205" s="4" t="n">
        <v>250</v>
      </c>
      <c r="D205" s="4" t="s">
        <v>22</v>
      </c>
      <c r="E205" s="4" t="s">
        <v>23</v>
      </c>
      <c r="F205" s="5" t="s">
        <v>15</v>
      </c>
      <c r="G205" s="6" t="n">
        <v>12</v>
      </c>
      <c r="H205" s="4" t="s">
        <v>24</v>
      </c>
      <c r="I205" s="4" t="s">
        <v>25</v>
      </c>
    </row>
    <row r="206" customFormat="false" ht="15" hidden="false" customHeight="false" outlineLevel="0" collapsed="false">
      <c r="A206" s="4" t="s">
        <v>89</v>
      </c>
      <c r="B206" s="4" t="s">
        <v>18</v>
      </c>
      <c r="C206" s="4" t="n">
        <v>250</v>
      </c>
      <c r="D206" s="4" t="s">
        <v>26</v>
      </c>
      <c r="E206" s="4" t="s">
        <v>27</v>
      </c>
      <c r="F206" s="5" t="s">
        <v>15</v>
      </c>
      <c r="G206" s="6" t="n">
        <v>18</v>
      </c>
      <c r="H206" s="4" t="s">
        <v>16</v>
      </c>
      <c r="I206" s="4" t="s">
        <v>21</v>
      </c>
    </row>
    <row r="207" customFormat="false" ht="15" hidden="false" customHeight="false" outlineLevel="0" collapsed="false">
      <c r="A207" s="4" t="s">
        <v>90</v>
      </c>
      <c r="B207" s="4" t="s">
        <v>29</v>
      </c>
      <c r="C207" s="4" t="n">
        <v>400</v>
      </c>
      <c r="D207" s="4" t="s">
        <v>22</v>
      </c>
      <c r="E207" s="4" t="s">
        <v>29</v>
      </c>
      <c r="F207" s="7" t="s">
        <v>30</v>
      </c>
      <c r="G207" s="6" t="n">
        <v>63</v>
      </c>
      <c r="H207" s="4" t="s">
        <v>24</v>
      </c>
      <c r="I207" s="4" t="s">
        <v>31</v>
      </c>
    </row>
    <row r="208" customFormat="false" ht="15" hidden="false" customHeight="false" outlineLevel="0" collapsed="false">
      <c r="A208" s="4" t="s">
        <v>90</v>
      </c>
      <c r="B208" s="4" t="s">
        <v>33</v>
      </c>
      <c r="C208" s="4" t="n">
        <v>100</v>
      </c>
      <c r="D208" s="4" t="s">
        <v>22</v>
      </c>
      <c r="E208" s="4" t="s">
        <v>33</v>
      </c>
      <c r="F208" s="7" t="s">
        <v>30</v>
      </c>
      <c r="G208" s="6" t="n">
        <v>48</v>
      </c>
      <c r="H208" s="4" t="s">
        <v>24</v>
      </c>
      <c r="I208" s="4" t="s">
        <v>34</v>
      </c>
    </row>
    <row r="209" customFormat="false" ht="15" hidden="false" customHeight="false" outlineLevel="0" collapsed="false">
      <c r="A209" s="4" t="s">
        <v>91</v>
      </c>
      <c r="B209" s="4" t="s">
        <v>12</v>
      </c>
      <c r="C209" s="4" t="n">
        <v>15</v>
      </c>
      <c r="D209" s="4" t="s">
        <v>13</v>
      </c>
      <c r="E209" s="4" t="s">
        <v>14</v>
      </c>
      <c r="F209" s="5" t="s">
        <v>15</v>
      </c>
      <c r="G209" s="6" t="n">
        <v>200</v>
      </c>
      <c r="H209" s="4" t="s">
        <v>16</v>
      </c>
      <c r="I209" s="4" t="s">
        <v>17</v>
      </c>
    </row>
    <row r="210" customFormat="false" ht="15" hidden="false" customHeight="false" outlineLevel="0" collapsed="false">
      <c r="A210" s="4" t="s">
        <v>91</v>
      </c>
      <c r="B210" s="4" t="s">
        <v>18</v>
      </c>
      <c r="C210" s="4" t="n">
        <v>250</v>
      </c>
      <c r="D210" s="4" t="s">
        <v>19</v>
      </c>
      <c r="E210" s="4" t="s">
        <v>20</v>
      </c>
      <c r="F210" s="5" t="s">
        <v>15</v>
      </c>
      <c r="G210" s="6" t="n">
        <v>18</v>
      </c>
      <c r="H210" s="4" t="s">
        <v>16</v>
      </c>
      <c r="I210" s="4" t="s">
        <v>21</v>
      </c>
    </row>
    <row r="211" customFormat="false" ht="15" hidden="false" customHeight="false" outlineLevel="0" collapsed="false">
      <c r="A211" s="4" t="s">
        <v>91</v>
      </c>
      <c r="B211" s="4" t="s">
        <v>18</v>
      </c>
      <c r="C211" s="4" t="n">
        <v>250</v>
      </c>
      <c r="D211" s="4" t="s">
        <v>22</v>
      </c>
      <c r="E211" s="4" t="s">
        <v>23</v>
      </c>
      <c r="F211" s="5" t="s">
        <v>15</v>
      </c>
      <c r="G211" s="6" t="n">
        <v>12</v>
      </c>
      <c r="H211" s="4" t="s">
        <v>24</v>
      </c>
      <c r="I211" s="4" t="s">
        <v>25</v>
      </c>
    </row>
    <row r="212" customFormat="false" ht="15" hidden="false" customHeight="false" outlineLevel="0" collapsed="false">
      <c r="A212" s="4" t="s">
        <v>91</v>
      </c>
      <c r="B212" s="4" t="s">
        <v>18</v>
      </c>
      <c r="C212" s="4" t="n">
        <v>250</v>
      </c>
      <c r="D212" s="4" t="s">
        <v>26</v>
      </c>
      <c r="E212" s="4" t="s">
        <v>27</v>
      </c>
      <c r="F212" s="5" t="s">
        <v>15</v>
      </c>
      <c r="G212" s="6" t="n">
        <v>18</v>
      </c>
      <c r="H212" s="4" t="s">
        <v>16</v>
      </c>
      <c r="I212" s="4" t="s">
        <v>21</v>
      </c>
    </row>
    <row r="214" customFormat="false" ht="15" hidden="false" customHeight="false" outlineLevel="0" collapsed="false">
      <c r="F214" s="9" t="s">
        <v>92</v>
      </c>
      <c r="G214" s="10" t="n">
        <f aca="false">SUBTOTAL(9,G5:G212)</f>
        <v>8332</v>
      </c>
    </row>
    <row r="215" customFormat="false" ht="15" hidden="false" customHeight="false" outlineLevel="0" collapsed="false">
      <c r="F215" s="9" t="s">
        <v>93</v>
      </c>
      <c r="G215" s="10" t="n">
        <f aca="false">SUMIFS(G5:G212,F5:F212,"B2C")</f>
        <v>4436</v>
      </c>
    </row>
    <row r="216" customFormat="false" ht="15" hidden="false" customHeight="false" outlineLevel="0" collapsed="false">
      <c r="F216" s="9" t="s">
        <v>94</v>
      </c>
      <c r="G216" s="10" t="n">
        <f aca="false">SUMIFS(G5:G212,F5:F212,"B2B")</f>
        <v>3896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43.5" hidden="false" customHeight="true" outlineLevel="0" collapsed="false">
      <c r="A4" s="3" t="s">
        <v>97</v>
      </c>
      <c r="B4" s="3" t="s">
        <v>10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  <c r="I4" s="3" t="s">
        <v>104</v>
      </c>
    </row>
    <row r="5" customFormat="false" ht="15" hidden="false" customHeight="false" outlineLevel="0" collapsed="false">
      <c r="A5" s="11" t="s">
        <v>16</v>
      </c>
      <c r="B5" s="11" t="s">
        <v>21</v>
      </c>
      <c r="C5" s="11" t="s">
        <v>15</v>
      </c>
      <c r="D5" s="12" t="n">
        <f aca="false">COUNTIFS('Por Fragrância'!$D$5:$D$192,$A5,'Por Fragrância'!$E$5:$E$192,$B5,'Por Fragrância'!$G$5:$G$192,$C5)</f>
        <v>17</v>
      </c>
      <c r="E5" s="11" t="n">
        <f aca="false">SUMIFS('Por Fragrância'!$J$5:$J$192,'Por Fragrância'!$D$5:$D$192,$A5,'Por Fragrância'!$E$5:$E$192,$B5,'Por Fragrância'!$G$5:$G$192,$C5)</f>
        <v>472</v>
      </c>
      <c r="F5" s="11" t="n">
        <f aca="false">_xlfn.MINIFS('Por Fragrância'!$J$5:$J$192,'Por Fragrância'!$D$5:$D$192,$A5,'Por Fragrância'!$E$5:$E$192,$B5,'Por Fragrância'!$G$5:$G$192,$C5)</f>
        <v>16</v>
      </c>
      <c r="G5" s="11" t="n">
        <f aca="false">_xlfn.MAXIFS('Por Fragrância'!$J$5:$J$192,'Por Fragrância'!$D$5:$D$192,$A5,'Por Fragrância'!$E$5:$E$192,$B5,'Por Fragrância'!$G$5:$G$192,$C5)</f>
        <v>36</v>
      </c>
      <c r="H5" s="13" t="n">
        <f aca="false">IF(D5=0,0,E5/D5)</f>
        <v>27.7647058823529</v>
      </c>
      <c r="I5" s="11" t="n">
        <f aca="false">COUNTIFS(Rótulos!$H$5:$H$212,$A5,Rótulos!$I$5:$I$212,$B5,Rótulos!$F$5:$F$212,IF($C5="B2B e B2C","~",$C5))</f>
        <v>34</v>
      </c>
    </row>
    <row r="6" customFormat="false" ht="15" hidden="false" customHeight="false" outlineLevel="0" collapsed="false">
      <c r="A6" s="11" t="s">
        <v>16</v>
      </c>
      <c r="B6" s="11" t="s">
        <v>17</v>
      </c>
      <c r="C6" s="11" t="s">
        <v>15</v>
      </c>
      <c r="D6" s="12" t="n">
        <f aca="false">COUNTIFS('Por Fragrância'!$D$5:$D$192,$A6,'Por Fragrância'!$E$5:$E$192,$B6,'Por Fragrância'!$G$5:$G$192,$C6)</f>
        <v>24</v>
      </c>
      <c r="E6" s="11" t="n">
        <f aca="false">SUMIFS('Por Fragrância'!$J$5:$J$192,'Por Fragrância'!$D$5:$D$192,$A6,'Por Fragrância'!$E$5:$E$192,$B6,'Por Fragrância'!$G$5:$G$192,$C6)</f>
        <v>3400</v>
      </c>
      <c r="F6" s="11" t="n">
        <f aca="false">_xlfn.MINIFS('Por Fragrância'!$J$5:$J$192,'Por Fragrância'!$D$5:$D$192,$A6,'Por Fragrância'!$E$5:$E$192,$B6,'Por Fragrância'!$G$5:$G$192,$C6)</f>
        <v>100</v>
      </c>
      <c r="G6" s="11" t="n">
        <f aca="false">_xlfn.MAXIFS('Por Fragrância'!$J$5:$J$192,'Por Fragrância'!$D$5:$D$192,$A6,'Por Fragrância'!$E$5:$E$192,$B6,'Por Fragrância'!$G$5:$G$192,$C6)</f>
        <v>200</v>
      </c>
      <c r="H6" s="13" t="n">
        <f aca="false">IF(D6=0,0,E6/D6)</f>
        <v>141.666666666667</v>
      </c>
      <c r="I6" s="11" t="n">
        <f aca="false">COUNTIFS(Rótulos!$H$5:$H$212,$A6,Rótulos!$I$5:$I$212,$B6,Rótulos!$F$5:$F$212,IF($C6="B2B e B2C","~",$C6))</f>
        <v>24</v>
      </c>
    </row>
    <row r="7" customFormat="false" ht="15" hidden="false" customHeight="false" outlineLevel="0" collapsed="false">
      <c r="A7" s="11" t="s">
        <v>24</v>
      </c>
      <c r="B7" s="11" t="s">
        <v>34</v>
      </c>
      <c r="C7" s="11" t="s">
        <v>30</v>
      </c>
      <c r="D7" s="12" t="n">
        <f aca="false">COUNTIFS('Por Fragrância'!$D$5:$D$192,$A7,'Por Fragrância'!$E$5:$E$192,$B7,'Por Fragrância'!$G$5:$G$192,$C7)</f>
        <v>23</v>
      </c>
      <c r="E7" s="11" t="n">
        <f aca="false">SUMIFS('Por Fragrância'!$J$5:$J$192,'Por Fragrância'!$D$5:$D$192,$A7,'Por Fragrância'!$E$5:$E$192,$B7,'Por Fragrância'!$G$5:$G$192,$C7)</f>
        <v>1307</v>
      </c>
      <c r="F7" s="11" t="n">
        <f aca="false">_xlfn.MINIFS('Por Fragrância'!$J$5:$J$192,'Por Fragrância'!$D$5:$D$192,$A7,'Por Fragrância'!$E$5:$E$192,$B7,'Por Fragrância'!$G$5:$G$192,$C7)</f>
        <v>2</v>
      </c>
      <c r="G7" s="11" t="n">
        <f aca="false">_xlfn.MAXIFS('Por Fragrância'!$J$5:$J$192,'Por Fragrância'!$D$5:$D$192,$A7,'Por Fragrância'!$E$5:$E$192,$B7,'Por Fragrância'!$G$5:$G$192,$C7)</f>
        <v>649</v>
      </c>
      <c r="H7" s="13" t="n">
        <f aca="false">IF(D7=0,0,E7/D7)</f>
        <v>56.8260869565217</v>
      </c>
      <c r="I7" s="11" t="n">
        <f aca="false">COUNTIFS(Rótulos!$H$5:$H$212,$A7,Rótulos!$I$5:$I$212,$B7,Rótulos!$F$5:$F$212,IF($C7="B2B e B2C","~",$C7))</f>
        <v>23</v>
      </c>
    </row>
    <row r="8" customFormat="false" ht="15" hidden="false" customHeight="false" outlineLevel="0" collapsed="false">
      <c r="A8" s="11" t="s">
        <v>24</v>
      </c>
      <c r="B8" s="11" t="s">
        <v>34</v>
      </c>
      <c r="C8" s="11" t="s">
        <v>15</v>
      </c>
      <c r="D8" s="12" t="n">
        <f aca="false">COUNTIFS('Por Fragrância'!$D$5:$D$192,$A8,'Por Fragrância'!$E$5:$E$192,$B8,'Por Fragrância'!$G$5:$G$192,$C8)</f>
        <v>8</v>
      </c>
      <c r="E8" s="11" t="n">
        <f aca="false">SUMIFS('Por Fragrância'!$J$5:$J$192,'Por Fragrância'!$D$5:$D$192,$A8,'Por Fragrância'!$E$5:$E$192,$B8,'Por Fragrância'!$G$5:$G$192,$C8)</f>
        <v>360</v>
      </c>
      <c r="F8" s="11" t="n">
        <f aca="false">_xlfn.MINIFS('Por Fragrância'!$J$5:$J$192,'Por Fragrância'!$D$5:$D$192,$A8,'Por Fragrância'!$E$5:$E$192,$B8,'Por Fragrância'!$G$5:$G$192,$C8)</f>
        <v>30</v>
      </c>
      <c r="G8" s="11" t="n">
        <f aca="false">_xlfn.MAXIFS('Por Fragrância'!$J$5:$J$192,'Por Fragrância'!$D$5:$D$192,$A8,'Por Fragrância'!$E$5:$E$192,$B8,'Por Fragrância'!$G$5:$G$192,$C8)</f>
        <v>150</v>
      </c>
      <c r="H8" s="13" t="n">
        <f aca="false">IF(D8=0,0,E8/D8)</f>
        <v>45</v>
      </c>
      <c r="I8" s="11" t="n">
        <f aca="false">COUNTIFS(Rótulos!$H$5:$H$212,$A8,Rótulos!$I$5:$I$212,$B8,Rótulos!$F$5:$F$212,IF($C8="B2B e B2C","~",$C8))</f>
        <v>8</v>
      </c>
    </row>
    <row r="9" customFormat="false" ht="15" hidden="false" customHeight="false" outlineLevel="0" collapsed="false">
      <c r="A9" s="11" t="s">
        <v>24</v>
      </c>
      <c r="B9" s="11" t="s">
        <v>25</v>
      </c>
      <c r="C9" s="11" t="s">
        <v>30</v>
      </c>
      <c r="D9" s="12" t="n">
        <f aca="false">COUNTIFS('Por Fragrância'!$D$5:$D$192,$A9,'Por Fragrância'!$E$5:$E$192,$B9,'Por Fragrância'!$G$5:$G$192,$C9)</f>
        <v>11</v>
      </c>
      <c r="E9" s="11" t="n">
        <f aca="false">SUMIFS('Por Fragrância'!$J$5:$J$192,'Por Fragrância'!$D$5:$D$192,$A9,'Por Fragrância'!$E$5:$E$192,$B9,'Por Fragrância'!$G$5:$G$192,$C9)</f>
        <v>481</v>
      </c>
      <c r="F9" s="11" t="n">
        <f aca="false">_xlfn.MINIFS('Por Fragrância'!$J$5:$J$192,'Por Fragrância'!$D$5:$D$192,$A9,'Por Fragrância'!$E$5:$E$192,$B9,'Por Fragrância'!$G$5:$G$192,$C9)</f>
        <v>4</v>
      </c>
      <c r="G9" s="11" t="n">
        <f aca="false">_xlfn.MAXIFS('Por Fragrância'!$J$5:$J$192,'Por Fragrância'!$D$5:$D$192,$A9,'Por Fragrância'!$E$5:$E$192,$B9,'Por Fragrância'!$G$5:$G$192,$C9)</f>
        <v>205</v>
      </c>
      <c r="H9" s="13" t="n">
        <f aca="false">IF(D9=0,0,E9/D9)</f>
        <v>43.7272727272727</v>
      </c>
      <c r="I9" s="11" t="n">
        <f aca="false">COUNTIFS(Rótulos!$H$5:$H$212,$A9,Rótulos!$I$5:$I$212,$B9,Rótulos!$F$5:$F$212,IF($C9="B2B e B2C","~",$C9))</f>
        <v>13</v>
      </c>
    </row>
    <row r="10" customFormat="false" ht="15" hidden="false" customHeight="false" outlineLevel="0" collapsed="false">
      <c r="A10" s="11" t="s">
        <v>24</v>
      </c>
      <c r="B10" s="11" t="s">
        <v>25</v>
      </c>
      <c r="C10" s="11" t="s">
        <v>105</v>
      </c>
      <c r="D10" s="12" t="n">
        <f aca="false">COUNTIFS('Por Fragrância'!$D$5:$D$192,$A10,'Por Fragrância'!$E$5:$E$192,$B10,'Por Fragrância'!$G$5:$G$192,$C10)</f>
        <v>2</v>
      </c>
      <c r="E10" s="11" t="n">
        <f aca="false">SUMIFS('Por Fragrância'!$J$5:$J$192,'Por Fragrância'!$D$5:$D$192,$A10,'Por Fragrância'!$E$5:$E$192,$B10,'Por Fragrância'!$G$5:$G$192,$C10)</f>
        <v>120</v>
      </c>
      <c r="F10" s="11" t="n">
        <f aca="false">_xlfn.MINIFS('Por Fragrância'!$J$5:$J$192,'Por Fragrância'!$D$5:$D$192,$A10,'Por Fragrância'!$E$5:$E$192,$B10,'Por Fragrância'!$G$5:$G$192,$C10)</f>
        <v>38</v>
      </c>
      <c r="G10" s="11" t="n">
        <f aca="false">_xlfn.MAXIFS('Por Fragrância'!$J$5:$J$192,'Por Fragrância'!$D$5:$D$192,$A10,'Por Fragrância'!$E$5:$E$192,$B10,'Por Fragrância'!$G$5:$G$192,$C10)</f>
        <v>82</v>
      </c>
      <c r="H10" s="13" t="n">
        <f aca="false">IF(D10=0,0,E10/D10)</f>
        <v>60</v>
      </c>
      <c r="I10" s="11" t="n">
        <f aca="false">COUNTIFS(Rótulos!$H$5:$H$212,$A10,Rótulos!$I$5:$I$212,$B10,Rótulos!$F$5:$F$212,IF($C10="B2B e B2C","~",$C10))</f>
        <v>0</v>
      </c>
    </row>
    <row r="11" customFormat="false" ht="15" hidden="false" customHeight="false" outlineLevel="0" collapsed="false">
      <c r="A11" s="11" t="s">
        <v>24</v>
      </c>
      <c r="B11" s="11" t="s">
        <v>25</v>
      </c>
      <c r="C11" s="11" t="s">
        <v>15</v>
      </c>
      <c r="D11" s="12" t="n">
        <f aca="false">COUNTIFS('Por Fragrância'!$D$5:$D$192,$A11,'Por Fragrância'!$E$5:$E$192,$B11,'Por Fragrância'!$G$5:$G$192,$C11)</f>
        <v>15</v>
      </c>
      <c r="E11" s="11" t="n">
        <f aca="false">SUMIFS('Por Fragrância'!$J$5:$J$192,'Por Fragrância'!$D$5:$D$192,$A11,'Por Fragrância'!$E$5:$E$192,$B11,'Por Fragrância'!$G$5:$G$192,$C11)</f>
        <v>130</v>
      </c>
      <c r="F11" s="11" t="n">
        <f aca="false">_xlfn.MINIFS('Por Fragrância'!$J$5:$J$192,'Por Fragrância'!$D$5:$D$192,$A11,'Por Fragrância'!$E$5:$E$192,$B11,'Por Fragrância'!$G$5:$G$192,$C11)</f>
        <v>2</v>
      </c>
      <c r="G11" s="11" t="n">
        <f aca="false">_xlfn.MAXIFS('Por Fragrância'!$J$5:$J$192,'Por Fragrância'!$D$5:$D$192,$A11,'Por Fragrância'!$E$5:$E$192,$B11,'Por Fragrância'!$G$5:$G$192,$C11)</f>
        <v>12</v>
      </c>
      <c r="H11" s="13" t="n">
        <f aca="false">IF(D11=0,0,E11/D11)</f>
        <v>8.66666666666667</v>
      </c>
      <c r="I11" s="11" t="n">
        <f aca="false">COUNTIFS(Rótulos!$H$5:$H$212,$A11,Rótulos!$I$5:$I$212,$B11,Rótulos!$F$5:$F$212,IF($C11="B2B e B2C","~",$C11))</f>
        <v>17</v>
      </c>
    </row>
    <row r="12" customFormat="false" ht="15" hidden="false" customHeight="false" outlineLevel="0" collapsed="false">
      <c r="A12" s="11" t="s">
        <v>24</v>
      </c>
      <c r="B12" s="11" t="s">
        <v>31</v>
      </c>
      <c r="C12" s="11" t="s">
        <v>30</v>
      </c>
      <c r="D12" s="12" t="n">
        <f aca="false">COUNTIFS('Por Fragrância'!$D$5:$D$192,$A12,'Por Fragrância'!$E$5:$E$192,$B12,'Por Fragrância'!$G$5:$G$192,$C12)</f>
        <v>53</v>
      </c>
      <c r="E12" s="11" t="n">
        <f aca="false">SUMIFS('Por Fragrância'!$J$5:$J$192,'Por Fragrância'!$D$5:$D$192,$A12,'Por Fragrância'!$E$5:$E$192,$B12,'Por Fragrância'!$G$5:$G$192,$C12)</f>
        <v>1614</v>
      </c>
      <c r="F12" s="11" t="n">
        <f aca="false">_xlfn.MINIFS('Por Fragrância'!$J$5:$J$192,'Por Fragrância'!$D$5:$D$192,$A12,'Por Fragrância'!$E$5:$E$192,$B12,'Por Fragrância'!$G$5:$G$192,$C12)</f>
        <v>1</v>
      </c>
      <c r="G12" s="11" t="n">
        <f aca="false">_xlfn.MAXIFS('Por Fragrância'!$J$5:$J$192,'Por Fragrância'!$D$5:$D$192,$A12,'Por Fragrância'!$E$5:$E$192,$B12,'Por Fragrância'!$G$5:$G$192,$C12)</f>
        <v>379</v>
      </c>
      <c r="H12" s="13" t="n">
        <f aca="false">IF(D12=0,0,E12/D12)</f>
        <v>30.4528301886792</v>
      </c>
      <c r="I12" s="11" t="n">
        <f aca="false">COUNTIFS(Rótulos!$H$5:$H$212,$A12,Rótulos!$I$5:$I$212,$B12,Rótulos!$F$5:$F$212,IF($C12="B2B e B2C","~",$C12))</f>
        <v>54</v>
      </c>
    </row>
    <row r="13" customFormat="false" ht="15" hidden="false" customHeight="false" outlineLevel="0" collapsed="false">
      <c r="A13" s="11" t="s">
        <v>24</v>
      </c>
      <c r="B13" s="11" t="s">
        <v>31</v>
      </c>
      <c r="C13" s="11" t="s">
        <v>105</v>
      </c>
      <c r="D13" s="12" t="n">
        <f aca="false">COUNTIFS('Por Fragrância'!$D$5:$D$192,$A13,'Por Fragrância'!$E$5:$E$192,$B13,'Por Fragrância'!$G$5:$G$192,$C13)</f>
        <v>1</v>
      </c>
      <c r="E13" s="11" t="n">
        <f aca="false">SUMIFS('Por Fragrância'!$J$5:$J$192,'Por Fragrância'!$D$5:$D$192,$A13,'Por Fragrância'!$E$5:$E$192,$B13,'Por Fragrância'!$G$5:$G$192,$C13)</f>
        <v>50</v>
      </c>
      <c r="F13" s="11" t="n">
        <f aca="false">_xlfn.MINIFS('Por Fragrância'!$J$5:$J$192,'Por Fragrância'!$D$5:$D$192,$A13,'Por Fragrância'!$E$5:$E$192,$B13,'Por Fragrância'!$G$5:$G$192,$C13)</f>
        <v>50</v>
      </c>
      <c r="G13" s="11" t="n">
        <f aca="false">_xlfn.MAXIFS('Por Fragrância'!$J$5:$J$192,'Por Fragrância'!$D$5:$D$192,$A13,'Por Fragrância'!$E$5:$E$192,$B13,'Por Fragrância'!$G$5:$G$192,$C13)</f>
        <v>50</v>
      </c>
      <c r="H13" s="13" t="n">
        <f aca="false">IF(D13=0,0,E13/D13)</f>
        <v>50</v>
      </c>
      <c r="I13" s="11" t="n">
        <f aca="false">COUNTIFS(Rótulos!$H$5:$H$212,$A13,Rótulos!$I$5:$I$212,$B13,Rótulos!$F$5:$F$212,IF($C13="B2B e B2C","~",$C13))</f>
        <v>0</v>
      </c>
    </row>
    <row r="14" customFormat="false" ht="15" hidden="false" customHeight="false" outlineLevel="0" collapsed="false">
      <c r="A14" s="11" t="s">
        <v>24</v>
      </c>
      <c r="B14" s="11" t="s">
        <v>31</v>
      </c>
      <c r="C14" s="11" t="s">
        <v>15</v>
      </c>
      <c r="D14" s="12" t="n">
        <f aca="false">COUNTIFS('Por Fragrância'!$D$5:$D$192,$A14,'Por Fragrância'!$E$5:$E$192,$B14,'Por Fragrância'!$G$5:$G$192,$C14)</f>
        <v>6</v>
      </c>
      <c r="E14" s="11" t="n">
        <f aca="false">SUMIFS('Por Fragrância'!$J$5:$J$192,'Por Fragrância'!$D$5:$D$192,$A14,'Por Fragrância'!$E$5:$E$192,$B14,'Por Fragrância'!$G$5:$G$192,$C14)</f>
        <v>60</v>
      </c>
      <c r="F14" s="11" t="n">
        <f aca="false">_xlfn.MINIFS('Por Fragrância'!$J$5:$J$192,'Por Fragrância'!$D$5:$D$192,$A14,'Por Fragrância'!$E$5:$E$192,$B14,'Por Fragrância'!$G$5:$G$192,$C14)</f>
        <v>10</v>
      </c>
      <c r="G14" s="11" t="n">
        <f aca="false">_xlfn.MAXIFS('Por Fragrância'!$J$5:$J$192,'Por Fragrância'!$D$5:$D$192,$A14,'Por Fragrância'!$E$5:$E$192,$B14,'Por Fragrância'!$G$5:$G$192,$C14)</f>
        <v>10</v>
      </c>
      <c r="H14" s="13" t="n">
        <f aca="false">IF(D14=0,0,E14/D14)</f>
        <v>10</v>
      </c>
      <c r="I14" s="11" t="n">
        <f aca="false">COUNTIFS(Rótulos!$H$5:$H$212,$A14,Rótulos!$I$5:$I$212,$B14,Rótulos!$F$5:$F$212,IF($C14="B2B e B2C","~",$C14))</f>
        <v>7</v>
      </c>
    </row>
    <row r="15" customFormat="false" ht="15" hidden="false" customHeight="false" outlineLevel="0" collapsed="false">
      <c r="A15" s="11" t="s">
        <v>24</v>
      </c>
      <c r="B15" s="11" t="s">
        <v>32</v>
      </c>
      <c r="C15" s="11" t="s">
        <v>30</v>
      </c>
      <c r="D15" s="12" t="n">
        <f aca="false">COUNTIFS('Por Fragrância'!$D$5:$D$192,$A15,'Por Fragrância'!$E$5:$E$192,$B15,'Por Fragrância'!$G$5:$G$192,$C15)</f>
        <v>18</v>
      </c>
      <c r="E15" s="11" t="n">
        <f aca="false">SUMIFS('Por Fragrância'!$J$5:$J$192,'Por Fragrância'!$D$5:$D$192,$A15,'Por Fragrância'!$E$5:$E$192,$B15,'Por Fragrância'!$G$5:$G$192,$C15)</f>
        <v>197</v>
      </c>
      <c r="F15" s="11" t="n">
        <f aca="false">_xlfn.MINIFS('Por Fragrância'!$J$5:$J$192,'Por Fragrância'!$D$5:$D$192,$A15,'Por Fragrância'!$E$5:$E$192,$B15,'Por Fragrância'!$G$5:$G$192,$C15)</f>
        <v>2</v>
      </c>
      <c r="G15" s="11" t="n">
        <f aca="false">_xlfn.MAXIFS('Por Fragrância'!$J$5:$J$192,'Por Fragrância'!$D$5:$D$192,$A15,'Por Fragrância'!$E$5:$E$192,$B15,'Por Fragrância'!$G$5:$G$192,$C15)</f>
        <v>22</v>
      </c>
      <c r="H15" s="13" t="n">
        <f aca="false">IF(D15=0,0,E15/D15)</f>
        <v>10.9444444444444</v>
      </c>
      <c r="I15" s="11" t="n">
        <f aca="false">COUNTIFS(Rótulos!$H$5:$H$212,$A15,Rótulos!$I$5:$I$212,$B15,Rótulos!$F$5:$F$212,IF($C15="B2B e B2C","~",$C15))</f>
        <v>18</v>
      </c>
    </row>
    <row r="16" customFormat="false" ht="15" hidden="false" customHeight="false" outlineLevel="0" collapsed="false">
      <c r="A16" s="11" t="s">
        <v>24</v>
      </c>
      <c r="B16" s="11" t="s">
        <v>106</v>
      </c>
      <c r="C16" s="11" t="s">
        <v>30</v>
      </c>
      <c r="D16" s="12" t="n">
        <f aca="false">COUNTIFS('Por Fragrância'!$D$5:$D$192,$A16,'Por Fragrância'!$E$5:$E$192,$B16,'Por Fragrância'!$G$5:$G$192,$C16)</f>
        <v>10</v>
      </c>
      <c r="E16" s="11" t="n">
        <f aca="false">SUMIFS('Por Fragrância'!$J$5:$J$192,'Por Fragrância'!$D$5:$D$192,$A16,'Por Fragrância'!$E$5:$E$192,$B16,'Por Fragrância'!$G$5:$G$192,$C16)</f>
        <v>141</v>
      </c>
      <c r="F16" s="11" t="n">
        <f aca="false">_xlfn.MINIFS('Por Fragrância'!$J$5:$J$192,'Por Fragrância'!$D$5:$D$192,$A16,'Por Fragrância'!$E$5:$E$192,$B16,'Por Fragrância'!$G$5:$G$192,$C16)</f>
        <v>2</v>
      </c>
      <c r="G16" s="11" t="n">
        <f aca="false">_xlfn.MAXIFS('Por Fragrância'!$J$5:$J$192,'Por Fragrância'!$D$5:$D$192,$A16,'Por Fragrância'!$E$5:$E$192,$B16,'Por Fragrância'!$G$5:$G$192,$C16)</f>
        <v>29</v>
      </c>
      <c r="H16" s="13" t="n">
        <f aca="false">IF(D16=0,0,E16/D16)</f>
        <v>14.1</v>
      </c>
      <c r="I16" s="11" t="n">
        <f aca="false">SUMPRODUCT((Rótulos!$H$5:$H$212=$A16)*(Rótulos!$I$5:$I$212="")*(Rótulos!$F$5:$F$212=IF($C16="B2B e B2C","~",$C16)))</f>
        <v>10</v>
      </c>
    </row>
    <row r="17" customFormat="false" ht="15" hidden="false" customHeight="false" outlineLevel="0" collapsed="false">
      <c r="A17" s="12" t="s">
        <v>107</v>
      </c>
      <c r="B17" s="12"/>
      <c r="C17" s="12"/>
      <c r="D17" s="12" t="n">
        <f aca="false">SUM(D5:D16)</f>
        <v>188</v>
      </c>
      <c r="E17" s="12" t="n">
        <f aca="false">SUM(E5:E16)</f>
        <v>8332</v>
      </c>
      <c r="F17" s="12"/>
      <c r="G17" s="12"/>
      <c r="H17" s="14"/>
      <c r="I17" s="12" t="n">
        <f aca="false">COUNTA(Rótulos!$A$5:$A$212)</f>
        <v>208</v>
      </c>
    </row>
    <row r="19" customFormat="false" ht="15" hidden="false" customHeight="false" outlineLevel="0" collapsed="false">
      <c r="A19" s="9" t="s">
        <v>108</v>
      </c>
    </row>
    <row r="20" customFormat="false" ht="30" hidden="false" customHeight="true" outlineLevel="0" collapsed="false">
      <c r="A20" s="3" t="s">
        <v>97</v>
      </c>
      <c r="B20" s="3" t="s">
        <v>10</v>
      </c>
      <c r="C20" s="3" t="s">
        <v>99</v>
      </c>
      <c r="D20" s="3" t="s">
        <v>100</v>
      </c>
    </row>
    <row r="21" customFormat="false" ht="15" hidden="false" customHeight="false" outlineLevel="0" collapsed="false">
      <c r="A21" s="15" t="s">
        <v>16</v>
      </c>
      <c r="B21" s="15" t="s">
        <v>21</v>
      </c>
      <c r="C21" s="16" t="n">
        <f aca="false">COUNTIFS('Por Fragrância'!$D$5:$D$192,$A21,'Por Fragrância'!$E$5:$E$192,$B21)</f>
        <v>17</v>
      </c>
      <c r="D21" s="15" t="n">
        <f aca="false">SUMIFS('Por Fragrância'!$J$5:$J$192,'Por Fragrância'!$D$5:$D$192,$A21,'Por Fragrância'!$E$5:$E$192,$B21)</f>
        <v>472</v>
      </c>
    </row>
    <row r="22" customFormat="false" ht="15" hidden="false" customHeight="false" outlineLevel="0" collapsed="false">
      <c r="A22" s="15" t="s">
        <v>16</v>
      </c>
      <c r="B22" s="15" t="s">
        <v>17</v>
      </c>
      <c r="C22" s="16" t="n">
        <f aca="false">COUNTIFS('Por Fragrância'!$D$5:$D$192,$A22,'Por Fragrância'!$E$5:$E$192,$B22)</f>
        <v>24</v>
      </c>
      <c r="D22" s="15" t="n">
        <f aca="false">SUMIFS('Por Fragrância'!$J$5:$J$192,'Por Fragrância'!$D$5:$D$192,$A22,'Por Fragrância'!$E$5:$E$192,$B22)</f>
        <v>3400</v>
      </c>
    </row>
    <row r="23" customFormat="false" ht="15" hidden="false" customHeight="false" outlineLevel="0" collapsed="false">
      <c r="A23" s="15" t="s">
        <v>24</v>
      </c>
      <c r="B23" s="15" t="s">
        <v>34</v>
      </c>
      <c r="C23" s="16" t="n">
        <f aca="false">COUNTIFS('Por Fragrância'!$D$5:$D$192,$A23,'Por Fragrância'!$E$5:$E$192,$B23)</f>
        <v>31</v>
      </c>
      <c r="D23" s="15" t="n">
        <f aca="false">SUMIFS('Por Fragrância'!$J$5:$J$192,'Por Fragrância'!$D$5:$D$192,$A23,'Por Fragrância'!$E$5:$E$192,$B23)</f>
        <v>1667</v>
      </c>
    </row>
    <row r="24" customFormat="false" ht="15" hidden="false" customHeight="false" outlineLevel="0" collapsed="false">
      <c r="A24" s="15" t="s">
        <v>24</v>
      </c>
      <c r="B24" s="15" t="s">
        <v>25</v>
      </c>
      <c r="C24" s="16" t="n">
        <f aca="false">COUNTIFS('Por Fragrância'!$D$5:$D$192,$A24,'Por Fragrância'!$E$5:$E$192,$B24)</f>
        <v>28</v>
      </c>
      <c r="D24" s="15" t="n">
        <f aca="false">SUMIFS('Por Fragrância'!$J$5:$J$192,'Por Fragrância'!$D$5:$D$192,$A24,'Por Fragrância'!$E$5:$E$192,$B24)</f>
        <v>731</v>
      </c>
    </row>
    <row r="25" customFormat="false" ht="15" hidden="false" customHeight="false" outlineLevel="0" collapsed="false">
      <c r="A25" s="15" t="s">
        <v>24</v>
      </c>
      <c r="B25" s="15" t="s">
        <v>31</v>
      </c>
      <c r="C25" s="16" t="n">
        <f aca="false">COUNTIFS('Por Fragrância'!$D$5:$D$192,$A25,'Por Fragrância'!$E$5:$E$192,$B25)</f>
        <v>60</v>
      </c>
      <c r="D25" s="15" t="n">
        <f aca="false">SUMIFS('Por Fragrância'!$J$5:$J$192,'Por Fragrância'!$D$5:$D$192,$A25,'Por Fragrância'!$E$5:$E$192,$B25)</f>
        <v>1724</v>
      </c>
    </row>
    <row r="26" customFormat="false" ht="15" hidden="false" customHeight="false" outlineLevel="0" collapsed="false">
      <c r="A26" s="15" t="s">
        <v>24</v>
      </c>
      <c r="B26" s="15" t="s">
        <v>32</v>
      </c>
      <c r="C26" s="16" t="n">
        <f aca="false">COUNTIFS('Por Fragrância'!$D$5:$D$192,$A26,'Por Fragrância'!$E$5:$E$192,$B26)</f>
        <v>18</v>
      </c>
      <c r="D26" s="15" t="n">
        <f aca="false">SUMIFS('Por Fragrância'!$J$5:$J$192,'Por Fragrância'!$D$5:$D$192,$A26,'Por Fragrância'!$E$5:$E$192,$B26)</f>
        <v>197</v>
      </c>
    </row>
    <row r="27" customFormat="false" ht="15" hidden="false" customHeight="false" outlineLevel="0" collapsed="false">
      <c r="A27" s="15" t="s">
        <v>24</v>
      </c>
      <c r="B27" s="15" t="s">
        <v>106</v>
      </c>
      <c r="C27" s="16" t="n">
        <f aca="false">COUNTIFS('Por Fragrância'!$D$5:$D$192,$A27,'Por Fragrância'!$E$5:$E$192,$B27)</f>
        <v>10</v>
      </c>
      <c r="D27" s="15" t="n">
        <f aca="false">SUMIFS('Por Fragrância'!$J$5:$J$192,'Por Fragrância'!$D$5:$D$192,$A27,'Por Fragrância'!$E$5:$E$192,$B27)</f>
        <v>141</v>
      </c>
    </row>
    <row r="28" customFormat="false" ht="15" hidden="false" customHeight="false" outlineLevel="0" collapsed="false">
      <c r="A28" s="16" t="s">
        <v>107</v>
      </c>
      <c r="B28" s="16"/>
      <c r="C28" s="16" t="n">
        <f aca="false">SUM(C21:C27)</f>
        <v>188</v>
      </c>
      <c r="D28" s="16" t="n">
        <f aca="false">SUM(D21:D27)</f>
        <v>8332</v>
      </c>
    </row>
    <row r="30" customFormat="false" ht="15" hidden="false" customHeight="false" outlineLevel="0" collapsed="false">
      <c r="A30" s="2" t="s">
        <v>109</v>
      </c>
    </row>
    <row r="31" customFormat="false" ht="15" hidden="false" customHeight="false" outlineLevel="0" collapsed="false">
      <c r="A31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9</v>
      </c>
      <c r="E4" s="3" t="s">
        <v>10</v>
      </c>
      <c r="F4" s="3" t="s">
        <v>113</v>
      </c>
      <c r="G4" s="3" t="s">
        <v>98</v>
      </c>
      <c r="H4" s="3" t="s">
        <v>114</v>
      </c>
      <c r="I4" s="3" t="s">
        <v>115</v>
      </c>
      <c r="J4" s="3" t="s">
        <v>116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n">
        <v>15</v>
      </c>
      <c r="D5" s="4" t="s">
        <v>16</v>
      </c>
      <c r="E5" s="4" t="s">
        <v>17</v>
      </c>
      <c r="F5" s="4" t="s">
        <v>14</v>
      </c>
      <c r="G5" s="4" t="s">
        <v>15</v>
      </c>
      <c r="H5" s="11" t="n">
        <f aca="false">SUMIFS(Rótulos!$G$5:$G$212,Rótulos!$A$5:$A$212,$A5,Rótulos!$B$5:$B$212,$B5,Rótulos!$C$5:$C$212,$C5,Rótulos!$H$5:$H$212,$D5,Rótulos!$I$5:$I$212,$E5,Rótulos!$F$5:$F$212,"B2C")</f>
        <v>200</v>
      </c>
      <c r="I5" s="11" t="n">
        <f aca="false">SUMIFS(Rótulos!$G$5:$G$212,Rótulos!$A$5:$A$212,$A5,Rótulos!$B$5:$B$212,$B5,Rótulos!$C$5:$C$212,$C5,Rótulos!$H$5:$H$212,$D5,Rótulos!$I$5:$I$212,$E5,Rótulos!$F$5:$F$212,"B2B")</f>
        <v>0</v>
      </c>
      <c r="J5" s="12" t="n">
        <f aca="false">H5+I5</f>
        <v>200</v>
      </c>
    </row>
    <row r="6" customFormat="false" ht="15" hidden="false" customHeight="false" outlineLevel="0" collapsed="false">
      <c r="A6" s="4" t="s">
        <v>11</v>
      </c>
      <c r="B6" s="4" t="s">
        <v>18</v>
      </c>
      <c r="C6" s="4" t="n">
        <v>250</v>
      </c>
      <c r="D6" s="4" t="s">
        <v>16</v>
      </c>
      <c r="E6" s="4" t="s">
        <v>21</v>
      </c>
      <c r="F6" s="4" t="s">
        <v>117</v>
      </c>
      <c r="G6" s="4" t="s">
        <v>15</v>
      </c>
      <c r="H6" s="11" t="n">
        <f aca="false">SUMIFS(Rótulos!$G$5:$G$212,Rótulos!$A$5:$A$212,$A6,Rótulos!$B$5:$B$212,$B6,Rótulos!$C$5:$C$212,$C6,Rótulos!$H$5:$H$212,$D6,Rótulos!$I$5:$I$212,$E6,Rótulos!$F$5:$F$212,"B2C")</f>
        <v>36</v>
      </c>
      <c r="I6" s="11" t="n">
        <f aca="false">SUMIFS(Rótulos!$G$5:$G$212,Rótulos!$A$5:$A$212,$A6,Rótulos!$B$5:$B$212,$B6,Rótulos!$C$5:$C$212,$C6,Rótulos!$H$5:$H$212,$D6,Rótulos!$I$5:$I$212,$E6,Rótulos!$F$5:$F$212,"B2B")</f>
        <v>0</v>
      </c>
      <c r="J6" s="12" t="n">
        <f aca="false">H6+I6</f>
        <v>36</v>
      </c>
    </row>
    <row r="7" customFormat="false" ht="15" hidden="false" customHeight="false" outlineLevel="0" collapsed="false">
      <c r="A7" s="4" t="s">
        <v>11</v>
      </c>
      <c r="B7" s="4" t="s">
        <v>18</v>
      </c>
      <c r="C7" s="4" t="n">
        <v>250</v>
      </c>
      <c r="D7" s="4" t="s">
        <v>24</v>
      </c>
      <c r="E7" s="4" t="s">
        <v>25</v>
      </c>
      <c r="F7" s="4" t="s">
        <v>23</v>
      </c>
      <c r="G7" s="4" t="s">
        <v>15</v>
      </c>
      <c r="H7" s="11" t="n">
        <f aca="false">SUMIFS(Rótulos!$G$5:$G$212,Rótulos!$A$5:$A$212,$A7,Rótulos!$B$5:$B$212,$B7,Rótulos!$C$5:$C$212,$C7,Rótulos!$H$5:$H$212,$D7,Rótulos!$I$5:$I$212,$E7,Rótulos!$F$5:$F$212,"B2C")</f>
        <v>12</v>
      </c>
      <c r="I7" s="11" t="n">
        <f aca="false">SUMIFS(Rótulos!$G$5:$G$212,Rótulos!$A$5:$A$212,$A7,Rótulos!$B$5:$B$212,$B7,Rótulos!$C$5:$C$212,$C7,Rótulos!$H$5:$H$212,$D7,Rótulos!$I$5:$I$212,$E7,Rótulos!$F$5:$F$212,"B2B")</f>
        <v>0</v>
      </c>
      <c r="J7" s="12" t="n">
        <f aca="false">H7+I7</f>
        <v>12</v>
      </c>
    </row>
    <row r="8" customFormat="false" ht="15" hidden="false" customHeight="false" outlineLevel="0" collapsed="false">
      <c r="A8" s="4" t="s">
        <v>28</v>
      </c>
      <c r="B8" s="4" t="s">
        <v>29</v>
      </c>
      <c r="C8" s="4" t="n">
        <v>160</v>
      </c>
      <c r="D8" s="4" t="s">
        <v>24</v>
      </c>
      <c r="E8" s="4" t="s">
        <v>106</v>
      </c>
      <c r="F8" s="4" t="s">
        <v>29</v>
      </c>
      <c r="G8" s="4" t="s">
        <v>30</v>
      </c>
      <c r="H8" s="11" t="n">
        <f aca="false">SUMIFS(Rótulos!$G$5:$G$212,Rótulos!$A$5:$A$212,$A8,Rótulos!$B$5:$B$212,$B8,Rótulos!$C$5:$C$212,$C8,Rótulos!$H$5:$H$212,$D8,Rótulos!$I$5:$I$212,"=",Rótulos!$F$5:$F$212,"B2C")</f>
        <v>0</v>
      </c>
      <c r="I8" s="11" t="n">
        <f aca="false">SUMIFS(Rótulos!$G$5:$G$212,Rótulos!$A$5:$A$212,$A8,Rótulos!$B$5:$B$212,$B8,Rótulos!$C$5:$C$212,$C8,Rótulos!$H$5:$H$212,$D8,Rótulos!$I$5:$I$212,"=",Rótulos!$F$5:$F$212,"B2B")</f>
        <v>29</v>
      </c>
      <c r="J8" s="12" t="n">
        <f aca="false">H8+I8</f>
        <v>29</v>
      </c>
    </row>
    <row r="9" customFormat="false" ht="15" hidden="false" customHeight="false" outlineLevel="0" collapsed="false">
      <c r="A9" s="4" t="s">
        <v>28</v>
      </c>
      <c r="B9" s="4" t="s">
        <v>29</v>
      </c>
      <c r="C9" s="4" t="n">
        <v>400</v>
      </c>
      <c r="D9" s="4" t="s">
        <v>24</v>
      </c>
      <c r="E9" s="4" t="s">
        <v>31</v>
      </c>
      <c r="F9" s="4" t="s">
        <v>29</v>
      </c>
      <c r="G9" s="4" t="s">
        <v>30</v>
      </c>
      <c r="H9" s="11" t="n">
        <f aca="false">SUMIFS(Rótulos!$G$5:$G$212,Rótulos!$A$5:$A$212,$A9,Rótulos!$B$5:$B$212,$B9,Rótulos!$C$5:$C$212,$C9,Rótulos!$H$5:$H$212,$D9,Rótulos!$I$5:$I$212,$E9,Rótulos!$F$5:$F$212,"B2C")</f>
        <v>0</v>
      </c>
      <c r="I9" s="11" t="n">
        <f aca="false">SUMIFS(Rótulos!$G$5:$G$212,Rótulos!$A$5:$A$212,$A9,Rótulos!$B$5:$B$212,$B9,Rótulos!$C$5:$C$212,$C9,Rótulos!$H$5:$H$212,$D9,Rótulos!$I$5:$I$212,$E9,Rótulos!$F$5:$F$212,"B2B")</f>
        <v>55</v>
      </c>
      <c r="J9" s="12" t="n">
        <f aca="false">H9+I9</f>
        <v>55</v>
      </c>
    </row>
    <row r="10" customFormat="false" ht="15" hidden="false" customHeight="false" outlineLevel="0" collapsed="false">
      <c r="A10" s="4" t="s">
        <v>28</v>
      </c>
      <c r="B10" s="4" t="s">
        <v>29</v>
      </c>
      <c r="C10" s="4" t="n">
        <v>1000</v>
      </c>
      <c r="D10" s="4" t="s">
        <v>24</v>
      </c>
      <c r="E10" s="4" t="s">
        <v>32</v>
      </c>
      <c r="F10" s="4" t="s">
        <v>29</v>
      </c>
      <c r="G10" s="4" t="s">
        <v>30</v>
      </c>
      <c r="H10" s="11" t="n">
        <f aca="false">SUMIFS(Rótulos!$G$5:$G$212,Rótulos!$A$5:$A$212,$A10,Rótulos!$B$5:$B$212,$B10,Rótulos!$C$5:$C$212,$C10,Rótulos!$H$5:$H$212,$D10,Rótulos!$I$5:$I$212,$E10,Rótulos!$F$5:$F$212,"B2C")</f>
        <v>0</v>
      </c>
      <c r="I10" s="11" t="n">
        <f aca="false">SUMIFS(Rótulos!$G$5:$G$212,Rótulos!$A$5:$A$212,$A10,Rótulos!$B$5:$B$212,$B10,Rótulos!$C$5:$C$212,$C10,Rótulos!$H$5:$H$212,$D10,Rótulos!$I$5:$I$212,$E10,Rótulos!$F$5:$F$212,"B2B")</f>
        <v>21</v>
      </c>
      <c r="J10" s="12" t="n">
        <f aca="false">H10+I10</f>
        <v>21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4" t="n">
        <v>5000</v>
      </c>
      <c r="D11" s="4" t="s">
        <v>24</v>
      </c>
      <c r="E11" s="4" t="s">
        <v>106</v>
      </c>
      <c r="F11" s="4" t="s">
        <v>29</v>
      </c>
      <c r="G11" s="4" t="s">
        <v>30</v>
      </c>
      <c r="H11" s="11" t="n">
        <f aca="false">SUMIFS(Rótulos!$G$5:$G$212,Rótulos!$A$5:$A$212,$A11,Rótulos!$B$5:$B$212,$B11,Rótulos!$C$5:$C$212,$C11,Rótulos!$H$5:$H$212,$D11,Rótulos!$I$5:$I$212,"=",Rótulos!$F$5:$F$212,"B2C")</f>
        <v>0</v>
      </c>
      <c r="I11" s="11" t="n">
        <f aca="false">SUMIFS(Rótulos!$G$5:$G$212,Rótulos!$A$5:$A$212,$A11,Rótulos!$B$5:$B$212,$B11,Rótulos!$C$5:$C$212,$C11,Rótulos!$H$5:$H$212,$D11,Rótulos!$I$5:$I$212,"=",Rótulos!$F$5:$F$212,"B2B")</f>
        <v>28</v>
      </c>
      <c r="J11" s="12" t="n">
        <f aca="false">H11+I11</f>
        <v>28</v>
      </c>
    </row>
    <row r="12" customFormat="false" ht="15" hidden="false" customHeight="false" outlineLevel="0" collapsed="false">
      <c r="A12" s="4" t="s">
        <v>28</v>
      </c>
      <c r="B12" s="4" t="s">
        <v>33</v>
      </c>
      <c r="C12" s="4" t="n">
        <v>100</v>
      </c>
      <c r="D12" s="4" t="s">
        <v>24</v>
      </c>
      <c r="E12" s="4" t="s">
        <v>34</v>
      </c>
      <c r="F12" s="4" t="s">
        <v>33</v>
      </c>
      <c r="G12" s="4" t="s">
        <v>30</v>
      </c>
      <c r="H12" s="11" t="n">
        <f aca="false">SUMIFS(Rótulos!$G$5:$G$212,Rótulos!$A$5:$A$212,$A12,Rótulos!$B$5:$B$212,$B12,Rótulos!$C$5:$C$212,$C12,Rótulos!$H$5:$H$212,$D12,Rótulos!$I$5:$I$212,$E12,Rótulos!$F$5:$F$212,"B2C")</f>
        <v>0</v>
      </c>
      <c r="I12" s="11" t="n">
        <f aca="false">SUMIFS(Rótulos!$G$5:$G$212,Rótulos!$A$5:$A$212,$A12,Rótulos!$B$5:$B$212,$B12,Rótulos!$C$5:$C$212,$C12,Rótulos!$H$5:$H$212,$D12,Rótulos!$I$5:$I$212,$E12,Rótulos!$F$5:$F$212,"B2B")</f>
        <v>19</v>
      </c>
      <c r="J12" s="12" t="n">
        <f aca="false">H12+I12</f>
        <v>19</v>
      </c>
    </row>
    <row r="13" customFormat="false" ht="15" hidden="false" customHeight="false" outlineLevel="0" collapsed="false">
      <c r="A13" s="4" t="s">
        <v>28</v>
      </c>
      <c r="B13" s="4" t="s">
        <v>33</v>
      </c>
      <c r="C13" s="4" t="n">
        <v>500</v>
      </c>
      <c r="D13" s="4" t="s">
        <v>24</v>
      </c>
      <c r="E13" s="4" t="s">
        <v>31</v>
      </c>
      <c r="F13" s="4" t="s">
        <v>33</v>
      </c>
      <c r="G13" s="4" t="s">
        <v>30</v>
      </c>
      <c r="H13" s="11" t="n">
        <f aca="false">SUMIFS(Rótulos!$G$5:$G$212,Rótulos!$A$5:$A$212,$A13,Rótulos!$B$5:$B$212,$B13,Rótulos!$C$5:$C$212,$C13,Rótulos!$H$5:$H$212,$D13,Rótulos!$I$5:$I$212,$E13,Rótulos!$F$5:$F$212,"B2C")</f>
        <v>0</v>
      </c>
      <c r="I13" s="11" t="n">
        <f aca="false">SUMIFS(Rótulos!$G$5:$G$212,Rótulos!$A$5:$A$212,$A13,Rótulos!$B$5:$B$212,$B13,Rótulos!$C$5:$C$212,$C13,Rótulos!$H$5:$H$212,$D13,Rótulos!$I$5:$I$212,$E13,Rótulos!$F$5:$F$212,"B2B")</f>
        <v>76</v>
      </c>
      <c r="J13" s="12" t="n">
        <f aca="false">H13+I13</f>
        <v>76</v>
      </c>
    </row>
    <row r="14" customFormat="false" ht="15" hidden="false" customHeight="false" outlineLevel="0" collapsed="false">
      <c r="A14" s="4" t="s">
        <v>28</v>
      </c>
      <c r="B14" s="4" t="s">
        <v>12</v>
      </c>
      <c r="C14" s="4" t="n">
        <v>15</v>
      </c>
      <c r="D14" s="4" t="s">
        <v>16</v>
      </c>
      <c r="E14" s="4" t="s">
        <v>17</v>
      </c>
      <c r="F14" s="4" t="s">
        <v>14</v>
      </c>
      <c r="G14" s="4" t="s">
        <v>15</v>
      </c>
      <c r="H14" s="11" t="n">
        <f aca="false">SUMIFS(Rótulos!$G$5:$G$212,Rótulos!$A$5:$A$212,$A14,Rótulos!$B$5:$B$212,$B14,Rótulos!$C$5:$C$212,$C14,Rótulos!$H$5:$H$212,$D14,Rótulos!$I$5:$I$212,$E14,Rótulos!$F$5:$F$212,"B2C")</f>
        <v>100</v>
      </c>
      <c r="I14" s="11" t="n">
        <f aca="false">SUMIFS(Rótulos!$G$5:$G$212,Rótulos!$A$5:$A$212,$A14,Rótulos!$B$5:$B$212,$B14,Rótulos!$C$5:$C$212,$C14,Rótulos!$H$5:$H$212,$D14,Rótulos!$I$5:$I$212,$E14,Rótulos!$F$5:$F$212,"B2B")</f>
        <v>0</v>
      </c>
      <c r="J14" s="12" t="n">
        <f aca="false">H14+I14</f>
        <v>100</v>
      </c>
    </row>
    <row r="15" customFormat="false" ht="15" hidden="false" customHeight="false" outlineLevel="0" collapsed="false">
      <c r="A15" s="4" t="s">
        <v>28</v>
      </c>
      <c r="B15" s="4" t="s">
        <v>12</v>
      </c>
      <c r="C15" s="4" t="n">
        <v>500</v>
      </c>
      <c r="D15" s="4" t="s">
        <v>24</v>
      </c>
      <c r="E15" s="4" t="s">
        <v>31</v>
      </c>
      <c r="F15" s="4" t="s">
        <v>35</v>
      </c>
      <c r="G15" s="4" t="s">
        <v>15</v>
      </c>
      <c r="H15" s="11" t="n">
        <f aca="false">SUMIFS(Rótulos!$G$5:$G$212,Rótulos!$A$5:$A$212,$A15,Rótulos!$B$5:$B$212,$B15,Rótulos!$C$5:$C$212,$C15,Rótulos!$H$5:$H$212,$D15,Rótulos!$I$5:$I$212,$E15,Rótulos!$F$5:$F$212,"B2C")</f>
        <v>10</v>
      </c>
      <c r="I15" s="11" t="n">
        <f aca="false">SUMIFS(Rótulos!$G$5:$G$212,Rótulos!$A$5:$A$212,$A15,Rótulos!$B$5:$B$212,$B15,Rótulos!$C$5:$C$212,$C15,Rótulos!$H$5:$H$212,$D15,Rótulos!$I$5:$I$212,$E15,Rótulos!$F$5:$F$212,"B2B")</f>
        <v>0</v>
      </c>
      <c r="J15" s="12" t="n">
        <f aca="false">H15+I15</f>
        <v>10</v>
      </c>
    </row>
    <row r="16" customFormat="false" ht="15" hidden="false" customHeight="false" outlineLevel="0" collapsed="false">
      <c r="A16" s="4" t="s">
        <v>28</v>
      </c>
      <c r="B16" s="4" t="s">
        <v>29</v>
      </c>
      <c r="C16" s="4" t="n">
        <v>15</v>
      </c>
      <c r="D16" s="4" t="s">
        <v>16</v>
      </c>
      <c r="E16" s="4" t="s">
        <v>17</v>
      </c>
      <c r="F16" s="4" t="s">
        <v>36</v>
      </c>
      <c r="G16" s="4" t="s">
        <v>15</v>
      </c>
      <c r="H16" s="11" t="n">
        <f aca="false">SUMIFS(Rótulos!$G$5:$G$212,Rótulos!$A$5:$A$212,$A16,Rótulos!$B$5:$B$212,$B16,Rótulos!$C$5:$C$212,$C16,Rótulos!$H$5:$H$212,$D16,Rótulos!$I$5:$I$212,$E16,Rótulos!$F$5:$F$212,"B2C")</f>
        <v>100</v>
      </c>
      <c r="I16" s="11" t="n">
        <f aca="false">SUMIFS(Rótulos!$G$5:$G$212,Rótulos!$A$5:$A$212,$A16,Rótulos!$B$5:$B$212,$B16,Rótulos!$C$5:$C$212,$C16,Rótulos!$H$5:$H$212,$D16,Rótulos!$I$5:$I$212,$E16,Rótulos!$F$5:$F$212,"B2B")</f>
        <v>0</v>
      </c>
      <c r="J16" s="12" t="n">
        <f aca="false">H16+I16</f>
        <v>100</v>
      </c>
    </row>
    <row r="17" customFormat="false" ht="15" hidden="false" customHeight="false" outlineLevel="0" collapsed="false">
      <c r="A17" s="4" t="s">
        <v>28</v>
      </c>
      <c r="B17" s="4" t="s">
        <v>29</v>
      </c>
      <c r="C17" s="4" t="n">
        <v>100</v>
      </c>
      <c r="D17" s="4" t="s">
        <v>24</v>
      </c>
      <c r="E17" s="4" t="s">
        <v>34</v>
      </c>
      <c r="F17" s="4" t="s">
        <v>36</v>
      </c>
      <c r="G17" s="4" t="s">
        <v>15</v>
      </c>
      <c r="H17" s="11" t="n">
        <f aca="false">SUMIFS(Rótulos!$G$5:$G$212,Rótulos!$A$5:$A$212,$A17,Rótulos!$B$5:$B$212,$B17,Rótulos!$C$5:$C$212,$C17,Rótulos!$H$5:$H$212,$D17,Rótulos!$I$5:$I$212,$E17,Rótulos!$F$5:$F$212,"B2C")</f>
        <v>30</v>
      </c>
      <c r="I17" s="11" t="n">
        <f aca="false">SUMIFS(Rótulos!$G$5:$G$212,Rótulos!$A$5:$A$212,$A17,Rótulos!$B$5:$B$212,$B17,Rótulos!$C$5:$C$212,$C17,Rótulos!$H$5:$H$212,$D17,Rótulos!$I$5:$I$212,$E17,Rótulos!$F$5:$F$212,"B2B")</f>
        <v>0</v>
      </c>
      <c r="J17" s="12" t="n">
        <f aca="false">H17+I17</f>
        <v>30</v>
      </c>
    </row>
    <row r="18" customFormat="false" ht="15" hidden="false" customHeight="false" outlineLevel="0" collapsed="false">
      <c r="A18" s="4" t="s">
        <v>28</v>
      </c>
      <c r="B18" s="4" t="s">
        <v>18</v>
      </c>
      <c r="C18" s="4" t="n">
        <v>250</v>
      </c>
      <c r="D18" s="4" t="s">
        <v>16</v>
      </c>
      <c r="E18" s="4" t="s">
        <v>21</v>
      </c>
      <c r="F18" s="4" t="s">
        <v>117</v>
      </c>
      <c r="G18" s="4" t="s">
        <v>15</v>
      </c>
      <c r="H18" s="11" t="n">
        <f aca="false">SUMIFS(Rótulos!$G$5:$G$212,Rótulos!$A$5:$A$212,$A18,Rótulos!$B$5:$B$212,$B18,Rótulos!$C$5:$C$212,$C18,Rótulos!$H$5:$H$212,$D18,Rótulos!$I$5:$I$212,$E18,Rótulos!$F$5:$F$212,"B2C")</f>
        <v>16</v>
      </c>
      <c r="I18" s="11" t="n">
        <f aca="false">SUMIFS(Rótulos!$G$5:$G$212,Rótulos!$A$5:$A$212,$A18,Rótulos!$B$5:$B$212,$B18,Rótulos!$C$5:$C$212,$C18,Rótulos!$H$5:$H$212,$D18,Rótulos!$I$5:$I$212,$E18,Rótulos!$F$5:$F$212,"B2B")</f>
        <v>0</v>
      </c>
      <c r="J18" s="12" t="n">
        <f aca="false">H18+I18</f>
        <v>16</v>
      </c>
    </row>
    <row r="19" customFormat="false" ht="15" hidden="false" customHeight="false" outlineLevel="0" collapsed="false">
      <c r="A19" s="4" t="s">
        <v>28</v>
      </c>
      <c r="B19" s="4" t="s">
        <v>18</v>
      </c>
      <c r="C19" s="4" t="n">
        <v>250</v>
      </c>
      <c r="D19" s="4" t="s">
        <v>24</v>
      </c>
      <c r="E19" s="4" t="s">
        <v>25</v>
      </c>
      <c r="F19" s="4" t="s">
        <v>23</v>
      </c>
      <c r="G19" s="4" t="s">
        <v>15</v>
      </c>
      <c r="H19" s="11" t="n">
        <f aca="false">SUMIFS(Rótulos!$G$5:$G$212,Rótulos!$A$5:$A$212,$A19,Rótulos!$B$5:$B$212,$B19,Rótulos!$C$5:$C$212,$C19,Rótulos!$H$5:$H$212,$D19,Rótulos!$I$5:$I$212,$E19,Rótulos!$F$5:$F$212,"B2C")</f>
        <v>2</v>
      </c>
      <c r="I19" s="11" t="n">
        <f aca="false">SUMIFS(Rótulos!$G$5:$G$212,Rótulos!$A$5:$A$212,$A19,Rótulos!$B$5:$B$212,$B19,Rótulos!$C$5:$C$212,$C19,Rótulos!$H$5:$H$212,$D19,Rótulos!$I$5:$I$212,$E19,Rótulos!$F$5:$F$212,"B2B")</f>
        <v>0</v>
      </c>
      <c r="J19" s="12" t="n">
        <f aca="false">H19+I19</f>
        <v>2</v>
      </c>
    </row>
    <row r="20" customFormat="false" ht="15" hidden="false" customHeight="false" outlineLevel="0" collapsed="false">
      <c r="A20" s="4" t="s">
        <v>37</v>
      </c>
      <c r="B20" s="4" t="s">
        <v>29</v>
      </c>
      <c r="C20" s="4" t="n">
        <v>400</v>
      </c>
      <c r="D20" s="4" t="s">
        <v>24</v>
      </c>
      <c r="E20" s="4" t="s">
        <v>31</v>
      </c>
      <c r="F20" s="4" t="s">
        <v>29</v>
      </c>
      <c r="G20" s="4" t="s">
        <v>30</v>
      </c>
      <c r="H20" s="11" t="n">
        <f aca="false">SUMIFS(Rótulos!$G$5:$G$212,Rótulos!$A$5:$A$212,$A20,Rótulos!$B$5:$B$212,$B20,Rótulos!$C$5:$C$212,$C20,Rótulos!$H$5:$H$212,$D20,Rótulos!$I$5:$I$212,$E20,Rótulos!$F$5:$F$212,"B2C")</f>
        <v>0</v>
      </c>
      <c r="I20" s="11" t="n">
        <f aca="false">SUMIFS(Rótulos!$G$5:$G$212,Rótulos!$A$5:$A$212,$A20,Rótulos!$B$5:$B$212,$B20,Rótulos!$C$5:$C$212,$C20,Rótulos!$H$5:$H$212,$D20,Rótulos!$I$5:$I$212,$E20,Rótulos!$F$5:$F$212,"B2B")</f>
        <v>4</v>
      </c>
      <c r="J20" s="12" t="n">
        <f aca="false">H20+I20</f>
        <v>4</v>
      </c>
    </row>
    <row r="21" customFormat="false" ht="15" hidden="false" customHeight="false" outlineLevel="0" collapsed="false">
      <c r="A21" s="4" t="s">
        <v>37</v>
      </c>
      <c r="B21" s="4" t="s">
        <v>29</v>
      </c>
      <c r="C21" s="4" t="n">
        <v>1000</v>
      </c>
      <c r="D21" s="4" t="s">
        <v>24</v>
      </c>
      <c r="E21" s="4" t="s">
        <v>32</v>
      </c>
      <c r="F21" s="4" t="s">
        <v>29</v>
      </c>
      <c r="G21" s="4" t="s">
        <v>30</v>
      </c>
      <c r="H21" s="11" t="n">
        <f aca="false">SUMIFS(Rótulos!$G$5:$G$212,Rótulos!$A$5:$A$212,$A21,Rótulos!$B$5:$B$212,$B21,Rótulos!$C$5:$C$212,$C21,Rótulos!$H$5:$H$212,$D21,Rótulos!$I$5:$I$212,$E21,Rótulos!$F$5:$F$212,"B2C")</f>
        <v>0</v>
      </c>
      <c r="I21" s="11" t="n">
        <f aca="false">SUMIFS(Rótulos!$G$5:$G$212,Rótulos!$A$5:$A$212,$A21,Rótulos!$B$5:$B$212,$B21,Rótulos!$C$5:$C$212,$C21,Rótulos!$H$5:$H$212,$D21,Rótulos!$I$5:$I$212,$E21,Rótulos!$F$5:$F$212,"B2B")</f>
        <v>15</v>
      </c>
      <c r="J21" s="12" t="n">
        <f aca="false">H21+I21</f>
        <v>15</v>
      </c>
    </row>
    <row r="22" customFormat="false" ht="15" hidden="false" customHeight="false" outlineLevel="0" collapsed="false">
      <c r="A22" s="4" t="s">
        <v>37</v>
      </c>
      <c r="B22" s="4" t="s">
        <v>29</v>
      </c>
      <c r="C22" s="4" t="n">
        <v>5000</v>
      </c>
      <c r="D22" s="4" t="s">
        <v>24</v>
      </c>
      <c r="E22" s="4" t="s">
        <v>106</v>
      </c>
      <c r="F22" s="4" t="s">
        <v>29</v>
      </c>
      <c r="G22" s="4" t="s">
        <v>30</v>
      </c>
      <c r="H22" s="11" t="n">
        <f aca="false">SUMIFS(Rótulos!$G$5:$G$212,Rótulos!$A$5:$A$212,$A22,Rótulos!$B$5:$B$212,$B22,Rótulos!$C$5:$C$212,$C22,Rótulos!$H$5:$H$212,$D22,Rótulos!$I$5:$I$212,"=",Rótulos!$F$5:$F$212,"B2C")</f>
        <v>0</v>
      </c>
      <c r="I22" s="11" t="n">
        <f aca="false">SUMIFS(Rótulos!$G$5:$G$212,Rótulos!$A$5:$A$212,$A22,Rótulos!$B$5:$B$212,$B22,Rótulos!$C$5:$C$212,$C22,Rótulos!$H$5:$H$212,$D22,Rótulos!$I$5:$I$212,"=",Rótulos!$F$5:$F$212,"B2B")</f>
        <v>8</v>
      </c>
      <c r="J22" s="12" t="n">
        <f aca="false">H22+I22</f>
        <v>8</v>
      </c>
    </row>
    <row r="23" customFormat="false" ht="15" hidden="false" customHeight="false" outlineLevel="0" collapsed="false">
      <c r="A23" s="4" t="s">
        <v>38</v>
      </c>
      <c r="B23" s="4" t="s">
        <v>29</v>
      </c>
      <c r="C23" s="4" t="n">
        <v>400</v>
      </c>
      <c r="D23" s="4" t="s">
        <v>24</v>
      </c>
      <c r="E23" s="4" t="s">
        <v>31</v>
      </c>
      <c r="F23" s="4" t="s">
        <v>29</v>
      </c>
      <c r="G23" s="4" t="s">
        <v>30</v>
      </c>
      <c r="H23" s="11" t="n">
        <f aca="false">SUMIFS(Rótulos!$G$5:$G$212,Rótulos!$A$5:$A$212,$A23,Rótulos!$B$5:$B$212,$B23,Rótulos!$C$5:$C$212,$C23,Rótulos!$H$5:$H$212,$D23,Rótulos!$I$5:$I$212,$E23,Rótulos!$F$5:$F$212,"B2C")</f>
        <v>0</v>
      </c>
      <c r="I23" s="11" t="n">
        <f aca="false">SUMIFS(Rótulos!$G$5:$G$212,Rótulos!$A$5:$A$212,$A23,Rótulos!$B$5:$B$212,$B23,Rótulos!$C$5:$C$212,$C23,Rótulos!$H$5:$H$212,$D23,Rótulos!$I$5:$I$212,$E23,Rótulos!$F$5:$F$212,"B2B")</f>
        <v>14</v>
      </c>
      <c r="J23" s="12" t="n">
        <f aca="false">H23+I23</f>
        <v>14</v>
      </c>
    </row>
    <row r="24" customFormat="false" ht="15" hidden="false" customHeight="false" outlineLevel="0" collapsed="false">
      <c r="A24" s="4" t="s">
        <v>38</v>
      </c>
      <c r="B24" s="4" t="s">
        <v>29</v>
      </c>
      <c r="C24" s="4" t="n">
        <v>1000</v>
      </c>
      <c r="D24" s="4" t="s">
        <v>24</v>
      </c>
      <c r="E24" s="4" t="s">
        <v>32</v>
      </c>
      <c r="F24" s="4" t="s">
        <v>29</v>
      </c>
      <c r="G24" s="4" t="s">
        <v>30</v>
      </c>
      <c r="H24" s="11" t="n">
        <f aca="false">SUMIFS(Rótulos!$G$5:$G$212,Rótulos!$A$5:$A$212,$A24,Rótulos!$B$5:$B$212,$B24,Rótulos!$C$5:$C$212,$C24,Rótulos!$H$5:$H$212,$D24,Rótulos!$I$5:$I$212,$E24,Rótulos!$F$5:$F$212,"B2C")</f>
        <v>0</v>
      </c>
      <c r="I24" s="11" t="n">
        <f aca="false">SUMIFS(Rótulos!$G$5:$G$212,Rótulos!$A$5:$A$212,$A24,Rótulos!$B$5:$B$212,$B24,Rótulos!$C$5:$C$212,$C24,Rótulos!$H$5:$H$212,$D24,Rótulos!$I$5:$I$212,$E24,Rótulos!$F$5:$F$212,"B2B")</f>
        <v>6</v>
      </c>
      <c r="J24" s="12" t="n">
        <f aca="false">H24+I24</f>
        <v>6</v>
      </c>
    </row>
    <row r="25" customFormat="false" ht="15" hidden="false" customHeight="false" outlineLevel="0" collapsed="false">
      <c r="A25" s="4" t="s">
        <v>38</v>
      </c>
      <c r="B25" s="4" t="s">
        <v>33</v>
      </c>
      <c r="C25" s="4" t="n">
        <v>100</v>
      </c>
      <c r="D25" s="4" t="s">
        <v>24</v>
      </c>
      <c r="E25" s="4" t="s">
        <v>34</v>
      </c>
      <c r="F25" s="4" t="s">
        <v>33</v>
      </c>
      <c r="G25" s="4" t="s">
        <v>30</v>
      </c>
      <c r="H25" s="11" t="n">
        <f aca="false">SUMIFS(Rótulos!$G$5:$G$212,Rótulos!$A$5:$A$212,$A25,Rótulos!$B$5:$B$212,$B25,Rótulos!$C$5:$C$212,$C25,Rótulos!$H$5:$H$212,$D25,Rótulos!$I$5:$I$212,$E25,Rótulos!$F$5:$F$212,"B2C")</f>
        <v>0</v>
      </c>
      <c r="I25" s="11" t="n">
        <f aca="false">SUMIFS(Rótulos!$G$5:$G$212,Rótulos!$A$5:$A$212,$A25,Rótulos!$B$5:$B$212,$B25,Rótulos!$C$5:$C$212,$C25,Rótulos!$H$5:$H$212,$D25,Rótulos!$I$5:$I$212,$E25,Rótulos!$F$5:$F$212,"B2B")</f>
        <v>37</v>
      </c>
      <c r="J25" s="12" t="n">
        <f aca="false">H25+I25</f>
        <v>37</v>
      </c>
    </row>
    <row r="26" customFormat="false" ht="15" hidden="false" customHeight="false" outlineLevel="0" collapsed="false">
      <c r="A26" s="4" t="s">
        <v>38</v>
      </c>
      <c r="B26" s="4" t="s">
        <v>33</v>
      </c>
      <c r="C26" s="4" t="n">
        <v>500</v>
      </c>
      <c r="D26" s="4" t="s">
        <v>24</v>
      </c>
      <c r="E26" s="4" t="s">
        <v>31</v>
      </c>
      <c r="F26" s="4" t="s">
        <v>33</v>
      </c>
      <c r="G26" s="4" t="s">
        <v>30</v>
      </c>
      <c r="H26" s="11" t="n">
        <f aca="false">SUMIFS(Rótulos!$G$5:$G$212,Rótulos!$A$5:$A$212,$A26,Rótulos!$B$5:$B$212,$B26,Rótulos!$C$5:$C$212,$C26,Rótulos!$H$5:$H$212,$D26,Rótulos!$I$5:$I$212,$E26,Rótulos!$F$5:$F$212,"B2C")</f>
        <v>0</v>
      </c>
      <c r="I26" s="11" t="n">
        <f aca="false">SUMIFS(Rótulos!$G$5:$G$212,Rótulos!$A$5:$A$212,$A26,Rótulos!$B$5:$B$212,$B26,Rótulos!$C$5:$C$212,$C26,Rótulos!$H$5:$H$212,$D26,Rótulos!$I$5:$I$212,$E26,Rótulos!$F$5:$F$212,"B2B")</f>
        <v>43</v>
      </c>
      <c r="J26" s="12" t="n">
        <f aca="false">H26+I26</f>
        <v>43</v>
      </c>
    </row>
    <row r="27" customFormat="false" ht="15" hidden="false" customHeight="false" outlineLevel="0" collapsed="false">
      <c r="A27" s="4" t="s">
        <v>38</v>
      </c>
      <c r="B27" s="4" t="s">
        <v>33</v>
      </c>
      <c r="C27" s="4" t="n">
        <v>1000</v>
      </c>
      <c r="D27" s="4" t="s">
        <v>24</v>
      </c>
      <c r="E27" s="4" t="s">
        <v>32</v>
      </c>
      <c r="F27" s="4" t="s">
        <v>33</v>
      </c>
      <c r="G27" s="4" t="s">
        <v>30</v>
      </c>
      <c r="H27" s="11" t="n">
        <f aca="false">SUMIFS(Rótulos!$G$5:$G$212,Rótulos!$A$5:$A$212,$A27,Rótulos!$B$5:$B$212,$B27,Rótulos!$C$5:$C$212,$C27,Rótulos!$H$5:$H$212,$D27,Rótulos!$I$5:$I$212,$E27,Rótulos!$F$5:$F$212,"B2C")</f>
        <v>0</v>
      </c>
      <c r="I27" s="11" t="n">
        <f aca="false">SUMIFS(Rótulos!$G$5:$G$212,Rótulos!$A$5:$A$212,$A27,Rótulos!$B$5:$B$212,$B27,Rótulos!$C$5:$C$212,$C27,Rótulos!$H$5:$H$212,$D27,Rótulos!$I$5:$I$212,$E27,Rótulos!$F$5:$F$212,"B2B")</f>
        <v>4</v>
      </c>
      <c r="J27" s="12" t="n">
        <f aca="false">H27+I27</f>
        <v>4</v>
      </c>
    </row>
    <row r="28" customFormat="false" ht="15" hidden="false" customHeight="false" outlineLevel="0" collapsed="false">
      <c r="A28" s="17" t="s">
        <v>38</v>
      </c>
      <c r="B28" s="17" t="s">
        <v>18</v>
      </c>
      <c r="C28" s="17" t="n">
        <v>250</v>
      </c>
      <c r="D28" s="17" t="s">
        <v>24</v>
      </c>
      <c r="E28" s="17" t="s">
        <v>25</v>
      </c>
      <c r="F28" s="17" t="s">
        <v>118</v>
      </c>
      <c r="G28" s="17" t="s">
        <v>105</v>
      </c>
      <c r="H28" s="18" t="n">
        <f aca="false">SUMIFS(Rótulos!$G$5:$G$212,Rótulos!$A$5:$A$212,$A28,Rótulos!$B$5:$B$212,$B28,Rótulos!$C$5:$C$212,$C28,Rótulos!$H$5:$H$212,$D28,Rótulos!$I$5:$I$212,$E28,Rótulos!$F$5:$F$212,"B2C")</f>
        <v>2</v>
      </c>
      <c r="I28" s="18" t="n">
        <f aca="false">SUMIFS(Rótulos!$G$5:$G$212,Rótulos!$A$5:$A$212,$A28,Rótulos!$B$5:$B$212,$B28,Rótulos!$C$5:$C$212,$C28,Rótulos!$H$5:$H$212,$D28,Rótulos!$I$5:$I$212,$E28,Rótulos!$F$5:$F$212,"B2B")</f>
        <v>36</v>
      </c>
      <c r="J28" s="19" t="n">
        <f aca="false">H28+I28</f>
        <v>38</v>
      </c>
    </row>
    <row r="29" customFormat="false" ht="15" hidden="false" customHeight="false" outlineLevel="0" collapsed="false">
      <c r="A29" s="4" t="s">
        <v>38</v>
      </c>
      <c r="B29" s="4" t="s">
        <v>12</v>
      </c>
      <c r="C29" s="4" t="n">
        <v>15</v>
      </c>
      <c r="D29" s="4" t="s">
        <v>16</v>
      </c>
      <c r="E29" s="4" t="s">
        <v>17</v>
      </c>
      <c r="F29" s="4" t="s">
        <v>14</v>
      </c>
      <c r="G29" s="4" t="s">
        <v>15</v>
      </c>
      <c r="H29" s="11" t="n">
        <f aca="false">SUMIFS(Rótulos!$G$5:$G$212,Rótulos!$A$5:$A$212,$A29,Rótulos!$B$5:$B$212,$B29,Rótulos!$C$5:$C$212,$C29,Rótulos!$H$5:$H$212,$D29,Rótulos!$I$5:$I$212,$E29,Rótulos!$F$5:$F$212,"B2C")</f>
        <v>100</v>
      </c>
      <c r="I29" s="11" t="n">
        <f aca="false">SUMIFS(Rótulos!$G$5:$G$212,Rótulos!$A$5:$A$212,$A29,Rótulos!$B$5:$B$212,$B29,Rótulos!$C$5:$C$212,$C29,Rótulos!$H$5:$H$212,$D29,Rótulos!$I$5:$I$212,$E29,Rótulos!$F$5:$F$212,"B2B")</f>
        <v>0</v>
      </c>
      <c r="J29" s="12" t="n">
        <f aca="false">H29+I29</f>
        <v>100</v>
      </c>
    </row>
    <row r="30" customFormat="false" ht="15" hidden="false" customHeight="false" outlineLevel="0" collapsed="false">
      <c r="A30" s="4" t="s">
        <v>38</v>
      </c>
      <c r="B30" s="4" t="s">
        <v>12</v>
      </c>
      <c r="C30" s="4" t="n">
        <v>500</v>
      </c>
      <c r="D30" s="4" t="s">
        <v>24</v>
      </c>
      <c r="E30" s="4" t="s">
        <v>31</v>
      </c>
      <c r="F30" s="4" t="s">
        <v>35</v>
      </c>
      <c r="G30" s="4" t="s">
        <v>15</v>
      </c>
      <c r="H30" s="11" t="n">
        <f aca="false">SUMIFS(Rótulos!$G$5:$G$212,Rótulos!$A$5:$A$212,$A30,Rótulos!$B$5:$B$212,$B30,Rótulos!$C$5:$C$212,$C30,Rótulos!$H$5:$H$212,$D30,Rótulos!$I$5:$I$212,$E30,Rótulos!$F$5:$F$212,"B2C")</f>
        <v>10</v>
      </c>
      <c r="I30" s="11" t="n">
        <f aca="false">SUMIFS(Rótulos!$G$5:$G$212,Rótulos!$A$5:$A$212,$A30,Rótulos!$B$5:$B$212,$B30,Rótulos!$C$5:$C$212,$C30,Rótulos!$H$5:$H$212,$D30,Rótulos!$I$5:$I$212,$E30,Rótulos!$F$5:$F$212,"B2B")</f>
        <v>0</v>
      </c>
      <c r="J30" s="12" t="n">
        <f aca="false">H30+I30</f>
        <v>10</v>
      </c>
    </row>
    <row r="31" customFormat="false" ht="15" hidden="false" customHeight="false" outlineLevel="0" collapsed="false">
      <c r="A31" s="4" t="s">
        <v>38</v>
      </c>
      <c r="B31" s="4" t="s">
        <v>29</v>
      </c>
      <c r="C31" s="4" t="n">
        <v>15</v>
      </c>
      <c r="D31" s="4" t="s">
        <v>16</v>
      </c>
      <c r="E31" s="4" t="s">
        <v>17</v>
      </c>
      <c r="F31" s="4" t="s">
        <v>36</v>
      </c>
      <c r="G31" s="4" t="s">
        <v>15</v>
      </c>
      <c r="H31" s="11" t="n">
        <f aca="false">SUMIFS(Rótulos!$G$5:$G$212,Rótulos!$A$5:$A$212,$A31,Rótulos!$B$5:$B$212,$B31,Rótulos!$C$5:$C$212,$C31,Rótulos!$H$5:$H$212,$D31,Rótulos!$I$5:$I$212,$E31,Rótulos!$F$5:$F$212,"B2C")</f>
        <v>100</v>
      </c>
      <c r="I31" s="11" t="n">
        <f aca="false">SUMIFS(Rótulos!$G$5:$G$212,Rótulos!$A$5:$A$212,$A31,Rótulos!$B$5:$B$212,$B31,Rótulos!$C$5:$C$212,$C31,Rótulos!$H$5:$H$212,$D31,Rótulos!$I$5:$I$212,$E31,Rótulos!$F$5:$F$212,"B2B")</f>
        <v>0</v>
      </c>
      <c r="J31" s="12" t="n">
        <f aca="false">H31+I31</f>
        <v>100</v>
      </c>
    </row>
    <row r="32" customFormat="false" ht="15" hidden="false" customHeight="false" outlineLevel="0" collapsed="false">
      <c r="A32" s="4" t="s">
        <v>38</v>
      </c>
      <c r="B32" s="4" t="s">
        <v>29</v>
      </c>
      <c r="C32" s="4" t="n">
        <v>100</v>
      </c>
      <c r="D32" s="4" t="s">
        <v>24</v>
      </c>
      <c r="E32" s="4" t="s">
        <v>34</v>
      </c>
      <c r="F32" s="4" t="s">
        <v>36</v>
      </c>
      <c r="G32" s="4" t="s">
        <v>15</v>
      </c>
      <c r="H32" s="11" t="n">
        <f aca="false">SUMIFS(Rótulos!$G$5:$G$212,Rótulos!$A$5:$A$212,$A32,Rótulos!$B$5:$B$212,$B32,Rótulos!$C$5:$C$212,$C32,Rótulos!$H$5:$H$212,$D32,Rótulos!$I$5:$I$212,$E32,Rótulos!$F$5:$F$212,"B2C")</f>
        <v>30</v>
      </c>
      <c r="I32" s="11" t="n">
        <f aca="false">SUMIFS(Rótulos!$G$5:$G$212,Rótulos!$A$5:$A$212,$A32,Rótulos!$B$5:$B$212,$B32,Rótulos!$C$5:$C$212,$C32,Rótulos!$H$5:$H$212,$D32,Rótulos!$I$5:$I$212,$E32,Rótulos!$F$5:$F$212,"B2B")</f>
        <v>0</v>
      </c>
      <c r="J32" s="12" t="n">
        <f aca="false">H32+I32</f>
        <v>30</v>
      </c>
    </row>
    <row r="33" customFormat="false" ht="15" hidden="false" customHeight="false" outlineLevel="0" collapsed="false">
      <c r="A33" s="4" t="s">
        <v>38</v>
      </c>
      <c r="B33" s="4" t="s">
        <v>18</v>
      </c>
      <c r="C33" s="4" t="n">
        <v>250</v>
      </c>
      <c r="D33" s="4" t="s">
        <v>16</v>
      </c>
      <c r="E33" s="4" t="s">
        <v>21</v>
      </c>
      <c r="F33" s="4" t="s">
        <v>117</v>
      </c>
      <c r="G33" s="4" t="s">
        <v>15</v>
      </c>
      <c r="H33" s="11" t="n">
        <f aca="false">SUMIFS(Rótulos!$G$5:$G$212,Rótulos!$A$5:$A$212,$A33,Rótulos!$B$5:$B$212,$B33,Rótulos!$C$5:$C$212,$C33,Rótulos!$H$5:$H$212,$D33,Rótulos!$I$5:$I$212,$E33,Rótulos!$F$5:$F$212,"B2C")</f>
        <v>16</v>
      </c>
      <c r="I33" s="11" t="n">
        <f aca="false">SUMIFS(Rótulos!$G$5:$G$212,Rótulos!$A$5:$A$212,$A33,Rótulos!$B$5:$B$212,$B33,Rótulos!$C$5:$C$212,$C33,Rótulos!$H$5:$H$212,$D33,Rótulos!$I$5:$I$212,$E33,Rótulos!$F$5:$F$212,"B2B")</f>
        <v>0</v>
      </c>
      <c r="J33" s="12" t="n">
        <f aca="false">H33+I33</f>
        <v>16</v>
      </c>
    </row>
    <row r="34" customFormat="false" ht="15" hidden="false" customHeight="false" outlineLevel="0" collapsed="false">
      <c r="A34" s="4" t="s">
        <v>39</v>
      </c>
      <c r="B34" s="4" t="s">
        <v>33</v>
      </c>
      <c r="C34" s="4" t="n">
        <v>100</v>
      </c>
      <c r="D34" s="4" t="s">
        <v>24</v>
      </c>
      <c r="E34" s="4" t="s">
        <v>34</v>
      </c>
      <c r="F34" s="4" t="s">
        <v>33</v>
      </c>
      <c r="G34" s="4" t="s">
        <v>30</v>
      </c>
      <c r="H34" s="11" t="n">
        <f aca="false">SUMIFS(Rótulos!$G$5:$G$212,Rótulos!$A$5:$A$212,$A34,Rótulos!$B$5:$B$212,$B34,Rótulos!$C$5:$C$212,$C34,Rótulos!$H$5:$H$212,$D34,Rótulos!$I$5:$I$212,$E34,Rótulos!$F$5:$F$212,"B2C")</f>
        <v>0</v>
      </c>
      <c r="I34" s="11" t="n">
        <f aca="false">SUMIFS(Rótulos!$G$5:$G$212,Rótulos!$A$5:$A$212,$A34,Rótulos!$B$5:$B$212,$B34,Rótulos!$C$5:$C$212,$C34,Rótulos!$H$5:$H$212,$D34,Rótulos!$I$5:$I$212,$E34,Rótulos!$F$5:$F$212,"B2B")</f>
        <v>8</v>
      </c>
      <c r="J34" s="12" t="n">
        <f aca="false">H34+I34</f>
        <v>8</v>
      </c>
    </row>
    <row r="35" customFormat="false" ht="15" hidden="false" customHeight="false" outlineLevel="0" collapsed="false">
      <c r="A35" s="4" t="s">
        <v>40</v>
      </c>
      <c r="B35" s="4" t="s">
        <v>33</v>
      </c>
      <c r="C35" s="4" t="n">
        <v>500</v>
      </c>
      <c r="D35" s="4" t="s">
        <v>24</v>
      </c>
      <c r="E35" s="4" t="s">
        <v>31</v>
      </c>
      <c r="F35" s="4" t="s">
        <v>33</v>
      </c>
      <c r="G35" s="4" t="s">
        <v>30</v>
      </c>
      <c r="H35" s="11" t="n">
        <f aca="false">SUMIFS(Rótulos!$G$5:$G$212,Rótulos!$A$5:$A$212,$A35,Rótulos!$B$5:$B$212,$B35,Rótulos!$C$5:$C$212,$C35,Rótulos!$H$5:$H$212,$D35,Rótulos!$I$5:$I$212,$E35,Rótulos!$F$5:$F$212,"B2C")</f>
        <v>0</v>
      </c>
      <c r="I35" s="11" t="n">
        <f aca="false">SUMIFS(Rótulos!$G$5:$G$212,Rótulos!$A$5:$A$212,$A35,Rótulos!$B$5:$B$212,$B35,Rótulos!$C$5:$C$212,$C35,Rótulos!$H$5:$H$212,$D35,Rótulos!$I$5:$I$212,$E35,Rótulos!$F$5:$F$212,"B2B")</f>
        <v>2</v>
      </c>
      <c r="J35" s="12" t="n">
        <f aca="false">H35+I35</f>
        <v>2</v>
      </c>
    </row>
    <row r="36" customFormat="false" ht="15" hidden="false" customHeight="false" outlineLevel="0" collapsed="false">
      <c r="A36" s="4" t="s">
        <v>41</v>
      </c>
      <c r="B36" s="4" t="s">
        <v>12</v>
      </c>
      <c r="C36" s="4" t="n">
        <v>250</v>
      </c>
      <c r="D36" s="4" t="s">
        <v>24</v>
      </c>
      <c r="E36" s="4" t="s">
        <v>25</v>
      </c>
      <c r="F36" s="4" t="s">
        <v>12</v>
      </c>
      <c r="G36" s="4" t="s">
        <v>30</v>
      </c>
      <c r="H36" s="11" t="n">
        <f aca="false">SUMIFS(Rótulos!$G$5:$G$212,Rótulos!$A$5:$A$212,$A36,Rótulos!$B$5:$B$212,$B36,Rótulos!$C$5:$C$212,$C36,Rótulos!$H$5:$H$212,$D36,Rótulos!$I$5:$I$212,$E36,Rótulos!$F$5:$F$212,"B2C")</f>
        <v>0</v>
      </c>
      <c r="I36" s="11" t="n">
        <f aca="false">SUMIFS(Rótulos!$G$5:$G$212,Rótulos!$A$5:$A$212,$A36,Rótulos!$B$5:$B$212,$B36,Rótulos!$C$5:$C$212,$C36,Rótulos!$H$5:$H$212,$D36,Rótulos!$I$5:$I$212,$E36,Rótulos!$F$5:$F$212,"B2B")</f>
        <v>18</v>
      </c>
      <c r="J36" s="12" t="n">
        <f aca="false">H36+I36</f>
        <v>18</v>
      </c>
    </row>
    <row r="37" customFormat="false" ht="15" hidden="false" customHeight="false" outlineLevel="0" collapsed="false">
      <c r="A37" s="17" t="s">
        <v>41</v>
      </c>
      <c r="B37" s="17" t="s">
        <v>12</v>
      </c>
      <c r="C37" s="17" t="n">
        <v>500</v>
      </c>
      <c r="D37" s="17" t="s">
        <v>24</v>
      </c>
      <c r="E37" s="17" t="s">
        <v>31</v>
      </c>
      <c r="F37" s="17" t="s">
        <v>119</v>
      </c>
      <c r="G37" s="17" t="s">
        <v>105</v>
      </c>
      <c r="H37" s="18" t="n">
        <f aca="false">SUMIFS(Rótulos!$G$5:$G$212,Rótulos!$A$5:$A$212,$A37,Rótulos!$B$5:$B$212,$B37,Rótulos!$C$5:$C$212,$C37,Rótulos!$H$5:$H$212,$D37,Rótulos!$I$5:$I$212,$E37,Rótulos!$F$5:$F$212,"B2C")</f>
        <v>10</v>
      </c>
      <c r="I37" s="18" t="n">
        <f aca="false">SUMIFS(Rótulos!$G$5:$G$212,Rótulos!$A$5:$A$212,$A37,Rótulos!$B$5:$B$212,$B37,Rótulos!$C$5:$C$212,$C37,Rótulos!$H$5:$H$212,$D37,Rótulos!$I$5:$I$212,$E37,Rótulos!$F$5:$F$212,"B2B")</f>
        <v>40</v>
      </c>
      <c r="J37" s="19" t="n">
        <f aca="false">H37+I37</f>
        <v>50</v>
      </c>
    </row>
    <row r="38" customFormat="false" ht="15" hidden="false" customHeight="false" outlineLevel="0" collapsed="false">
      <c r="A38" s="4" t="s">
        <v>41</v>
      </c>
      <c r="B38" s="4" t="s">
        <v>33</v>
      </c>
      <c r="C38" s="4" t="n">
        <v>100</v>
      </c>
      <c r="D38" s="4" t="s">
        <v>24</v>
      </c>
      <c r="E38" s="4" t="s">
        <v>34</v>
      </c>
      <c r="F38" s="4" t="s">
        <v>33</v>
      </c>
      <c r="G38" s="4" t="s">
        <v>30</v>
      </c>
      <c r="H38" s="11" t="n">
        <f aca="false">SUMIFS(Rótulos!$G$5:$G$212,Rótulos!$A$5:$A$212,$A38,Rótulos!$B$5:$B$212,$B38,Rótulos!$C$5:$C$212,$C38,Rótulos!$H$5:$H$212,$D38,Rótulos!$I$5:$I$212,$E38,Rótulos!$F$5:$F$212,"B2C")</f>
        <v>0</v>
      </c>
      <c r="I38" s="11" t="n">
        <f aca="false">SUMIFS(Rótulos!$G$5:$G$212,Rótulos!$A$5:$A$212,$A38,Rótulos!$B$5:$B$212,$B38,Rótulos!$C$5:$C$212,$C38,Rótulos!$H$5:$H$212,$D38,Rótulos!$I$5:$I$212,$E38,Rótulos!$F$5:$F$212,"B2B")</f>
        <v>45</v>
      </c>
      <c r="J38" s="12" t="n">
        <f aca="false">H38+I38</f>
        <v>45</v>
      </c>
    </row>
    <row r="39" customFormat="false" ht="15" hidden="false" customHeight="false" outlineLevel="0" collapsed="false">
      <c r="A39" s="4" t="s">
        <v>41</v>
      </c>
      <c r="B39" s="4" t="s">
        <v>33</v>
      </c>
      <c r="C39" s="4" t="n">
        <v>500</v>
      </c>
      <c r="D39" s="4" t="s">
        <v>24</v>
      </c>
      <c r="E39" s="4" t="s">
        <v>31</v>
      </c>
      <c r="F39" s="4" t="s">
        <v>33</v>
      </c>
      <c r="G39" s="4" t="s">
        <v>30</v>
      </c>
      <c r="H39" s="11" t="n">
        <f aca="false">SUMIFS(Rótulos!$G$5:$G$212,Rótulos!$A$5:$A$212,$A39,Rótulos!$B$5:$B$212,$B39,Rótulos!$C$5:$C$212,$C39,Rótulos!$H$5:$H$212,$D39,Rótulos!$I$5:$I$212,$E39,Rótulos!$F$5:$F$212,"B2C")</f>
        <v>0</v>
      </c>
      <c r="I39" s="11" t="n">
        <f aca="false">SUMIFS(Rótulos!$G$5:$G$212,Rótulos!$A$5:$A$212,$A39,Rótulos!$B$5:$B$212,$B39,Rótulos!$C$5:$C$212,$C39,Rótulos!$H$5:$H$212,$D39,Rótulos!$I$5:$I$212,$E39,Rótulos!$F$5:$F$212,"B2B")</f>
        <v>4</v>
      </c>
      <c r="J39" s="12" t="n">
        <f aca="false">H39+I39</f>
        <v>4</v>
      </c>
    </row>
    <row r="40" customFormat="false" ht="15" hidden="false" customHeight="false" outlineLevel="0" collapsed="false">
      <c r="A40" s="4" t="s">
        <v>41</v>
      </c>
      <c r="B40" s="4" t="s">
        <v>12</v>
      </c>
      <c r="C40" s="4" t="n">
        <v>15</v>
      </c>
      <c r="D40" s="4" t="s">
        <v>16</v>
      </c>
      <c r="E40" s="4" t="s">
        <v>17</v>
      </c>
      <c r="F40" s="4" t="s">
        <v>14</v>
      </c>
      <c r="G40" s="4" t="s">
        <v>15</v>
      </c>
      <c r="H40" s="11" t="n">
        <f aca="false">SUMIFS(Rótulos!$G$5:$G$212,Rótulos!$A$5:$A$212,$A40,Rótulos!$B$5:$B$212,$B40,Rótulos!$C$5:$C$212,$C40,Rótulos!$H$5:$H$212,$D40,Rótulos!$I$5:$I$212,$E40,Rótulos!$F$5:$F$212,"B2C")</f>
        <v>100</v>
      </c>
      <c r="I40" s="11" t="n">
        <f aca="false">SUMIFS(Rótulos!$G$5:$G$212,Rótulos!$A$5:$A$212,$A40,Rótulos!$B$5:$B$212,$B40,Rótulos!$C$5:$C$212,$C40,Rótulos!$H$5:$H$212,$D40,Rótulos!$I$5:$I$212,$E40,Rótulos!$F$5:$F$212,"B2B")</f>
        <v>0</v>
      </c>
      <c r="J40" s="12" t="n">
        <f aca="false">H40+I40</f>
        <v>100</v>
      </c>
    </row>
    <row r="41" customFormat="false" ht="15" hidden="false" customHeight="false" outlineLevel="0" collapsed="false">
      <c r="A41" s="4" t="s">
        <v>41</v>
      </c>
      <c r="B41" s="4" t="s">
        <v>29</v>
      </c>
      <c r="C41" s="4" t="n">
        <v>15</v>
      </c>
      <c r="D41" s="4" t="s">
        <v>16</v>
      </c>
      <c r="E41" s="4" t="s">
        <v>17</v>
      </c>
      <c r="F41" s="4" t="s">
        <v>36</v>
      </c>
      <c r="G41" s="4" t="s">
        <v>15</v>
      </c>
      <c r="H41" s="11" t="n">
        <f aca="false">SUMIFS(Rótulos!$G$5:$G$212,Rótulos!$A$5:$A$212,$A41,Rótulos!$B$5:$B$212,$B41,Rótulos!$C$5:$C$212,$C41,Rótulos!$H$5:$H$212,$D41,Rótulos!$I$5:$I$212,$E41,Rótulos!$F$5:$F$212,"B2C")</f>
        <v>100</v>
      </c>
      <c r="I41" s="11" t="n">
        <f aca="false">SUMIFS(Rótulos!$G$5:$G$212,Rótulos!$A$5:$A$212,$A41,Rótulos!$B$5:$B$212,$B41,Rótulos!$C$5:$C$212,$C41,Rótulos!$H$5:$H$212,$D41,Rótulos!$I$5:$I$212,$E41,Rótulos!$F$5:$F$212,"B2B")</f>
        <v>0</v>
      </c>
      <c r="J41" s="12" t="n">
        <f aca="false">H41+I41</f>
        <v>100</v>
      </c>
    </row>
    <row r="42" customFormat="false" ht="15" hidden="false" customHeight="false" outlineLevel="0" collapsed="false">
      <c r="A42" s="4" t="s">
        <v>41</v>
      </c>
      <c r="B42" s="4" t="s">
        <v>29</v>
      </c>
      <c r="C42" s="4" t="n">
        <v>100</v>
      </c>
      <c r="D42" s="4" t="s">
        <v>24</v>
      </c>
      <c r="E42" s="4" t="s">
        <v>34</v>
      </c>
      <c r="F42" s="4" t="s">
        <v>36</v>
      </c>
      <c r="G42" s="4" t="s">
        <v>15</v>
      </c>
      <c r="H42" s="11" t="n">
        <f aca="false">SUMIFS(Rótulos!$G$5:$G$212,Rótulos!$A$5:$A$212,$A42,Rótulos!$B$5:$B$212,$B42,Rótulos!$C$5:$C$212,$C42,Rótulos!$H$5:$H$212,$D42,Rótulos!$I$5:$I$212,$E42,Rótulos!$F$5:$F$212,"B2C")</f>
        <v>30</v>
      </c>
      <c r="I42" s="11" t="n">
        <f aca="false">SUMIFS(Rótulos!$G$5:$G$212,Rótulos!$A$5:$A$212,$A42,Rótulos!$B$5:$B$212,$B42,Rótulos!$C$5:$C$212,$C42,Rótulos!$H$5:$H$212,$D42,Rótulos!$I$5:$I$212,$E42,Rótulos!$F$5:$F$212,"B2B")</f>
        <v>0</v>
      </c>
      <c r="J42" s="12" t="n">
        <f aca="false">H42+I42</f>
        <v>30</v>
      </c>
    </row>
    <row r="43" customFormat="false" ht="15" hidden="false" customHeight="false" outlineLevel="0" collapsed="false">
      <c r="A43" s="4" t="s">
        <v>41</v>
      </c>
      <c r="B43" s="4" t="s">
        <v>18</v>
      </c>
      <c r="C43" s="4" t="n">
        <v>250</v>
      </c>
      <c r="D43" s="4" t="s">
        <v>16</v>
      </c>
      <c r="E43" s="4" t="s">
        <v>21</v>
      </c>
      <c r="F43" s="4" t="s">
        <v>117</v>
      </c>
      <c r="G43" s="4" t="s">
        <v>15</v>
      </c>
      <c r="H43" s="11" t="n">
        <f aca="false">SUMIFS(Rótulos!$G$5:$G$212,Rótulos!$A$5:$A$212,$A43,Rótulos!$B$5:$B$212,$B43,Rótulos!$C$5:$C$212,$C43,Rótulos!$H$5:$H$212,$D43,Rótulos!$I$5:$I$212,$E43,Rótulos!$F$5:$F$212,"B2C")</f>
        <v>16</v>
      </c>
      <c r="I43" s="11" t="n">
        <f aca="false">SUMIFS(Rótulos!$G$5:$G$212,Rótulos!$A$5:$A$212,$A43,Rótulos!$B$5:$B$212,$B43,Rótulos!$C$5:$C$212,$C43,Rótulos!$H$5:$H$212,$D43,Rótulos!$I$5:$I$212,$E43,Rótulos!$F$5:$F$212,"B2B")</f>
        <v>0</v>
      </c>
      <c r="J43" s="12" t="n">
        <f aca="false">H43+I43</f>
        <v>16</v>
      </c>
    </row>
    <row r="44" customFormat="false" ht="15" hidden="false" customHeight="false" outlineLevel="0" collapsed="false">
      <c r="A44" s="4" t="s">
        <v>41</v>
      </c>
      <c r="B44" s="4" t="s">
        <v>18</v>
      </c>
      <c r="C44" s="4" t="n">
        <v>250</v>
      </c>
      <c r="D44" s="4" t="s">
        <v>24</v>
      </c>
      <c r="E44" s="4" t="s">
        <v>25</v>
      </c>
      <c r="F44" s="4" t="s">
        <v>23</v>
      </c>
      <c r="G44" s="4" t="s">
        <v>15</v>
      </c>
      <c r="H44" s="11" t="n">
        <f aca="false">SUMIFS(Rótulos!$G$5:$G$212,Rótulos!$A$5:$A$212,$A44,Rótulos!$B$5:$B$212,$B44,Rótulos!$C$5:$C$212,$C44,Rótulos!$H$5:$H$212,$D44,Rótulos!$I$5:$I$212,$E44,Rótulos!$F$5:$F$212,"B2C")</f>
        <v>2</v>
      </c>
      <c r="I44" s="11" t="n">
        <f aca="false">SUMIFS(Rótulos!$G$5:$G$212,Rótulos!$A$5:$A$212,$A44,Rótulos!$B$5:$B$212,$B44,Rótulos!$C$5:$C$212,$C44,Rótulos!$H$5:$H$212,$D44,Rótulos!$I$5:$I$212,$E44,Rótulos!$F$5:$F$212,"B2B")</f>
        <v>0</v>
      </c>
      <c r="J44" s="12" t="n">
        <f aca="false">H44+I44</f>
        <v>2</v>
      </c>
    </row>
    <row r="45" customFormat="false" ht="15" hidden="false" customHeight="false" outlineLevel="0" collapsed="false">
      <c r="A45" s="4" t="s">
        <v>42</v>
      </c>
      <c r="B45" s="4" t="s">
        <v>29</v>
      </c>
      <c r="C45" s="4" t="n">
        <v>400</v>
      </c>
      <c r="D45" s="4" t="s">
        <v>24</v>
      </c>
      <c r="E45" s="4" t="s">
        <v>31</v>
      </c>
      <c r="F45" s="4" t="s">
        <v>29</v>
      </c>
      <c r="G45" s="4" t="s">
        <v>30</v>
      </c>
      <c r="H45" s="11" t="n">
        <f aca="false">SUMIFS(Rótulos!$G$5:$G$212,Rótulos!$A$5:$A$212,$A45,Rótulos!$B$5:$B$212,$B45,Rótulos!$C$5:$C$212,$C45,Rótulos!$H$5:$H$212,$D45,Rótulos!$I$5:$I$212,$E45,Rótulos!$F$5:$F$212,"B2C")</f>
        <v>0</v>
      </c>
      <c r="I45" s="11" t="n">
        <f aca="false">SUMIFS(Rótulos!$G$5:$G$212,Rótulos!$A$5:$A$212,$A45,Rótulos!$B$5:$B$212,$B45,Rótulos!$C$5:$C$212,$C45,Rótulos!$H$5:$H$212,$D45,Rótulos!$I$5:$I$212,$E45,Rótulos!$F$5:$F$212,"B2B")</f>
        <v>6</v>
      </c>
      <c r="J45" s="12" t="n">
        <f aca="false">H45+I45</f>
        <v>6</v>
      </c>
    </row>
    <row r="46" customFormat="false" ht="15" hidden="false" customHeight="false" outlineLevel="0" collapsed="false">
      <c r="A46" s="4" t="s">
        <v>43</v>
      </c>
      <c r="B46" s="4" t="s">
        <v>33</v>
      </c>
      <c r="C46" s="4" t="n">
        <v>100</v>
      </c>
      <c r="D46" s="4" t="s">
        <v>24</v>
      </c>
      <c r="E46" s="4" t="s">
        <v>34</v>
      </c>
      <c r="F46" s="4" t="s">
        <v>33</v>
      </c>
      <c r="G46" s="4" t="s">
        <v>30</v>
      </c>
      <c r="H46" s="11" t="n">
        <f aca="false">SUMIFS(Rótulos!$G$5:$G$212,Rótulos!$A$5:$A$212,$A46,Rótulos!$B$5:$B$212,$B46,Rótulos!$C$5:$C$212,$C46,Rótulos!$H$5:$H$212,$D46,Rótulos!$I$5:$I$212,$E46,Rótulos!$F$5:$F$212,"B2C")</f>
        <v>0</v>
      </c>
      <c r="I46" s="11" t="n">
        <f aca="false">SUMIFS(Rótulos!$G$5:$G$212,Rótulos!$A$5:$A$212,$A46,Rótulos!$B$5:$B$212,$B46,Rótulos!$C$5:$C$212,$C46,Rótulos!$H$5:$H$212,$D46,Rótulos!$I$5:$I$212,$E46,Rótulos!$F$5:$F$212,"B2B")</f>
        <v>15</v>
      </c>
      <c r="J46" s="12" t="n">
        <f aca="false">H46+I46</f>
        <v>15</v>
      </c>
    </row>
    <row r="47" customFormat="false" ht="15" hidden="false" customHeight="false" outlineLevel="0" collapsed="false">
      <c r="A47" s="4" t="s">
        <v>43</v>
      </c>
      <c r="B47" s="4" t="s">
        <v>33</v>
      </c>
      <c r="C47" s="4" t="n">
        <v>500</v>
      </c>
      <c r="D47" s="4" t="s">
        <v>24</v>
      </c>
      <c r="E47" s="4" t="s">
        <v>31</v>
      </c>
      <c r="F47" s="4" t="s">
        <v>33</v>
      </c>
      <c r="G47" s="4" t="s">
        <v>30</v>
      </c>
      <c r="H47" s="11" t="n">
        <f aca="false">SUMIFS(Rótulos!$G$5:$G$212,Rótulos!$A$5:$A$212,$A47,Rótulos!$B$5:$B$212,$B47,Rótulos!$C$5:$C$212,$C47,Rótulos!$H$5:$H$212,$D47,Rótulos!$I$5:$I$212,$E47,Rótulos!$F$5:$F$212,"B2C")</f>
        <v>0</v>
      </c>
      <c r="I47" s="11" t="n">
        <f aca="false">SUMIFS(Rótulos!$G$5:$G$212,Rótulos!$A$5:$A$212,$A47,Rótulos!$B$5:$B$212,$B47,Rótulos!$C$5:$C$212,$C47,Rótulos!$H$5:$H$212,$D47,Rótulos!$I$5:$I$212,$E47,Rótulos!$F$5:$F$212,"B2B")</f>
        <v>1</v>
      </c>
      <c r="J47" s="12" t="n">
        <f aca="false">H47+I47</f>
        <v>1</v>
      </c>
    </row>
    <row r="48" customFormat="false" ht="15" hidden="false" customHeight="false" outlineLevel="0" collapsed="false">
      <c r="A48" s="4" t="s">
        <v>43</v>
      </c>
      <c r="B48" s="4" t="s">
        <v>12</v>
      </c>
      <c r="C48" s="4" t="n">
        <v>15</v>
      </c>
      <c r="D48" s="4" t="s">
        <v>16</v>
      </c>
      <c r="E48" s="4" t="s">
        <v>17</v>
      </c>
      <c r="F48" s="4" t="s">
        <v>14</v>
      </c>
      <c r="G48" s="4" t="s">
        <v>15</v>
      </c>
      <c r="H48" s="11" t="n">
        <f aca="false">SUMIFS(Rótulos!$G$5:$G$212,Rótulos!$A$5:$A$212,$A48,Rótulos!$B$5:$B$212,$B48,Rótulos!$C$5:$C$212,$C48,Rótulos!$H$5:$H$212,$D48,Rótulos!$I$5:$I$212,$E48,Rótulos!$F$5:$F$212,"B2C")</f>
        <v>100</v>
      </c>
      <c r="I48" s="11" t="n">
        <f aca="false">SUMIFS(Rótulos!$G$5:$G$212,Rótulos!$A$5:$A$212,$A48,Rótulos!$B$5:$B$212,$B48,Rótulos!$C$5:$C$212,$C48,Rótulos!$H$5:$H$212,$D48,Rótulos!$I$5:$I$212,$E48,Rótulos!$F$5:$F$212,"B2B")</f>
        <v>0</v>
      </c>
      <c r="J48" s="12" t="n">
        <f aca="false">H48+I48</f>
        <v>100</v>
      </c>
    </row>
    <row r="49" customFormat="false" ht="15" hidden="false" customHeight="false" outlineLevel="0" collapsed="false">
      <c r="A49" s="4" t="s">
        <v>43</v>
      </c>
      <c r="B49" s="4" t="s">
        <v>12</v>
      </c>
      <c r="C49" s="4" t="n">
        <v>500</v>
      </c>
      <c r="D49" s="4" t="s">
        <v>24</v>
      </c>
      <c r="E49" s="4" t="s">
        <v>31</v>
      </c>
      <c r="F49" s="4" t="s">
        <v>35</v>
      </c>
      <c r="G49" s="4" t="s">
        <v>15</v>
      </c>
      <c r="H49" s="11" t="n">
        <f aca="false">SUMIFS(Rótulos!$G$5:$G$212,Rótulos!$A$5:$A$212,$A49,Rótulos!$B$5:$B$212,$B49,Rótulos!$C$5:$C$212,$C49,Rótulos!$H$5:$H$212,$D49,Rótulos!$I$5:$I$212,$E49,Rótulos!$F$5:$F$212,"B2C")</f>
        <v>10</v>
      </c>
      <c r="I49" s="11" t="n">
        <f aca="false">SUMIFS(Rótulos!$G$5:$G$212,Rótulos!$A$5:$A$212,$A49,Rótulos!$B$5:$B$212,$B49,Rótulos!$C$5:$C$212,$C49,Rótulos!$H$5:$H$212,$D49,Rótulos!$I$5:$I$212,$E49,Rótulos!$F$5:$F$212,"B2B")</f>
        <v>0</v>
      </c>
      <c r="J49" s="12" t="n">
        <f aca="false">H49+I49</f>
        <v>10</v>
      </c>
    </row>
    <row r="50" customFormat="false" ht="15" hidden="false" customHeight="false" outlineLevel="0" collapsed="false">
      <c r="A50" s="4" t="s">
        <v>43</v>
      </c>
      <c r="B50" s="4" t="s">
        <v>29</v>
      </c>
      <c r="C50" s="4" t="n">
        <v>15</v>
      </c>
      <c r="D50" s="4" t="s">
        <v>16</v>
      </c>
      <c r="E50" s="4" t="s">
        <v>17</v>
      </c>
      <c r="F50" s="4" t="s">
        <v>36</v>
      </c>
      <c r="G50" s="4" t="s">
        <v>15</v>
      </c>
      <c r="H50" s="11" t="n">
        <f aca="false">SUMIFS(Rótulos!$G$5:$G$212,Rótulos!$A$5:$A$212,$A50,Rótulos!$B$5:$B$212,$B50,Rótulos!$C$5:$C$212,$C50,Rótulos!$H$5:$H$212,$D50,Rótulos!$I$5:$I$212,$E50,Rótulos!$F$5:$F$212,"B2C")</f>
        <v>100</v>
      </c>
      <c r="I50" s="11" t="n">
        <f aca="false">SUMIFS(Rótulos!$G$5:$G$212,Rótulos!$A$5:$A$212,$A50,Rótulos!$B$5:$B$212,$B50,Rótulos!$C$5:$C$212,$C50,Rótulos!$H$5:$H$212,$D50,Rótulos!$I$5:$I$212,$E50,Rótulos!$F$5:$F$212,"B2B")</f>
        <v>0</v>
      </c>
      <c r="J50" s="12" t="n">
        <f aca="false">H50+I50</f>
        <v>100</v>
      </c>
    </row>
    <row r="51" customFormat="false" ht="15" hidden="false" customHeight="false" outlineLevel="0" collapsed="false">
      <c r="A51" s="4" t="s">
        <v>43</v>
      </c>
      <c r="B51" s="4" t="s">
        <v>29</v>
      </c>
      <c r="C51" s="4" t="n">
        <v>100</v>
      </c>
      <c r="D51" s="4" t="s">
        <v>24</v>
      </c>
      <c r="E51" s="4" t="s">
        <v>34</v>
      </c>
      <c r="F51" s="4" t="s">
        <v>36</v>
      </c>
      <c r="G51" s="4" t="s">
        <v>15</v>
      </c>
      <c r="H51" s="11" t="n">
        <f aca="false">SUMIFS(Rótulos!$G$5:$G$212,Rótulos!$A$5:$A$212,$A51,Rótulos!$B$5:$B$212,$B51,Rótulos!$C$5:$C$212,$C51,Rótulos!$H$5:$H$212,$D51,Rótulos!$I$5:$I$212,$E51,Rótulos!$F$5:$F$212,"B2C")</f>
        <v>30</v>
      </c>
      <c r="I51" s="11" t="n">
        <f aca="false">SUMIFS(Rótulos!$G$5:$G$212,Rótulos!$A$5:$A$212,$A51,Rótulos!$B$5:$B$212,$B51,Rótulos!$C$5:$C$212,$C51,Rótulos!$H$5:$H$212,$D51,Rótulos!$I$5:$I$212,$E51,Rótulos!$F$5:$F$212,"B2B")</f>
        <v>0</v>
      </c>
      <c r="J51" s="12" t="n">
        <f aca="false">H51+I51</f>
        <v>30</v>
      </c>
    </row>
    <row r="52" customFormat="false" ht="15" hidden="false" customHeight="false" outlineLevel="0" collapsed="false">
      <c r="A52" s="4" t="s">
        <v>43</v>
      </c>
      <c r="B52" s="4" t="s">
        <v>18</v>
      </c>
      <c r="C52" s="4" t="n">
        <v>250</v>
      </c>
      <c r="D52" s="4" t="s">
        <v>16</v>
      </c>
      <c r="E52" s="4" t="s">
        <v>21</v>
      </c>
      <c r="F52" s="4" t="s">
        <v>117</v>
      </c>
      <c r="G52" s="4" t="s">
        <v>15</v>
      </c>
      <c r="H52" s="11" t="n">
        <f aca="false">SUMIFS(Rótulos!$G$5:$G$212,Rótulos!$A$5:$A$212,$A52,Rótulos!$B$5:$B$212,$B52,Rótulos!$C$5:$C$212,$C52,Rótulos!$H$5:$H$212,$D52,Rótulos!$I$5:$I$212,$E52,Rótulos!$F$5:$F$212,"B2C")</f>
        <v>16</v>
      </c>
      <c r="I52" s="11" t="n">
        <f aca="false">SUMIFS(Rótulos!$G$5:$G$212,Rótulos!$A$5:$A$212,$A52,Rótulos!$B$5:$B$212,$B52,Rótulos!$C$5:$C$212,$C52,Rótulos!$H$5:$H$212,$D52,Rótulos!$I$5:$I$212,$E52,Rótulos!$F$5:$F$212,"B2B")</f>
        <v>0</v>
      </c>
      <c r="J52" s="12" t="n">
        <f aca="false">H52+I52</f>
        <v>16</v>
      </c>
    </row>
    <row r="53" customFormat="false" ht="15" hidden="false" customHeight="false" outlineLevel="0" collapsed="false">
      <c r="A53" s="4" t="s">
        <v>43</v>
      </c>
      <c r="B53" s="4" t="s">
        <v>18</v>
      </c>
      <c r="C53" s="4" t="n">
        <v>250</v>
      </c>
      <c r="D53" s="4" t="s">
        <v>24</v>
      </c>
      <c r="E53" s="4" t="s">
        <v>25</v>
      </c>
      <c r="F53" s="4" t="s">
        <v>23</v>
      </c>
      <c r="G53" s="4" t="s">
        <v>15</v>
      </c>
      <c r="H53" s="11" t="n">
        <f aca="false">SUMIFS(Rótulos!$G$5:$G$212,Rótulos!$A$5:$A$212,$A53,Rótulos!$B$5:$B$212,$B53,Rótulos!$C$5:$C$212,$C53,Rótulos!$H$5:$H$212,$D53,Rótulos!$I$5:$I$212,$E53,Rótulos!$F$5:$F$212,"B2C")</f>
        <v>2</v>
      </c>
      <c r="I53" s="11" t="n">
        <f aca="false">SUMIFS(Rótulos!$G$5:$G$212,Rótulos!$A$5:$A$212,$A53,Rótulos!$B$5:$B$212,$B53,Rótulos!$C$5:$C$212,$C53,Rótulos!$H$5:$H$212,$D53,Rótulos!$I$5:$I$212,$E53,Rótulos!$F$5:$F$212,"B2B")</f>
        <v>0</v>
      </c>
      <c r="J53" s="12" t="n">
        <f aca="false">H53+I53</f>
        <v>2</v>
      </c>
    </row>
    <row r="54" customFormat="false" ht="15" hidden="false" customHeight="false" outlineLevel="0" collapsed="false">
      <c r="A54" s="4" t="s">
        <v>44</v>
      </c>
      <c r="B54" s="4" t="s">
        <v>12</v>
      </c>
      <c r="C54" s="4" t="n">
        <v>250</v>
      </c>
      <c r="D54" s="4" t="s">
        <v>24</v>
      </c>
      <c r="E54" s="4" t="s">
        <v>25</v>
      </c>
      <c r="F54" s="4" t="s">
        <v>12</v>
      </c>
      <c r="G54" s="4" t="s">
        <v>30</v>
      </c>
      <c r="H54" s="11" t="n">
        <f aca="false">SUMIFS(Rótulos!$G$5:$G$212,Rótulos!$A$5:$A$212,$A54,Rótulos!$B$5:$B$212,$B54,Rótulos!$C$5:$C$212,$C54,Rótulos!$H$5:$H$212,$D54,Rótulos!$I$5:$I$212,$E54,Rótulos!$F$5:$F$212,"B2C")</f>
        <v>0</v>
      </c>
      <c r="I54" s="11" t="n">
        <f aca="false">SUMIFS(Rótulos!$G$5:$G$212,Rótulos!$A$5:$A$212,$A54,Rótulos!$B$5:$B$212,$B54,Rótulos!$C$5:$C$212,$C54,Rótulos!$H$5:$H$212,$D54,Rótulos!$I$5:$I$212,$E54,Rótulos!$F$5:$F$212,"B2B")</f>
        <v>205</v>
      </c>
      <c r="J54" s="12" t="n">
        <f aca="false">H54+I54</f>
        <v>205</v>
      </c>
    </row>
    <row r="55" customFormat="false" ht="15" hidden="false" customHeight="false" outlineLevel="0" collapsed="false">
      <c r="A55" s="4" t="s">
        <v>44</v>
      </c>
      <c r="B55" s="4" t="s">
        <v>29</v>
      </c>
      <c r="C55" s="4" t="n">
        <v>1000</v>
      </c>
      <c r="D55" s="4" t="s">
        <v>24</v>
      </c>
      <c r="E55" s="4" t="s">
        <v>32</v>
      </c>
      <c r="F55" s="4" t="s">
        <v>29</v>
      </c>
      <c r="G55" s="4" t="s">
        <v>30</v>
      </c>
      <c r="H55" s="11" t="n">
        <f aca="false">SUMIFS(Rótulos!$G$5:$G$212,Rótulos!$A$5:$A$212,$A55,Rótulos!$B$5:$B$212,$B55,Rótulos!$C$5:$C$212,$C55,Rótulos!$H$5:$H$212,$D55,Rótulos!$I$5:$I$212,$E55,Rótulos!$F$5:$F$212,"B2C")</f>
        <v>0</v>
      </c>
      <c r="I55" s="11" t="n">
        <f aca="false">SUMIFS(Rótulos!$G$5:$G$212,Rótulos!$A$5:$A$212,$A55,Rótulos!$B$5:$B$212,$B55,Rótulos!$C$5:$C$212,$C55,Rótulos!$H$5:$H$212,$D55,Rótulos!$I$5:$I$212,$E55,Rótulos!$F$5:$F$212,"B2B")</f>
        <v>18</v>
      </c>
      <c r="J55" s="12" t="n">
        <f aca="false">H55+I55</f>
        <v>18</v>
      </c>
    </row>
    <row r="56" customFormat="false" ht="15" hidden="false" customHeight="false" outlineLevel="0" collapsed="false">
      <c r="A56" s="4" t="s">
        <v>44</v>
      </c>
      <c r="B56" s="4" t="s">
        <v>29</v>
      </c>
      <c r="C56" s="4" t="n">
        <v>5000</v>
      </c>
      <c r="D56" s="4" t="s">
        <v>24</v>
      </c>
      <c r="E56" s="4" t="s">
        <v>106</v>
      </c>
      <c r="F56" s="4" t="s">
        <v>29</v>
      </c>
      <c r="G56" s="4" t="s">
        <v>30</v>
      </c>
      <c r="H56" s="11" t="n">
        <f aca="false">SUMIFS(Rótulos!$G$5:$G$212,Rótulos!$A$5:$A$212,$A56,Rótulos!$B$5:$B$212,$B56,Rótulos!$C$5:$C$212,$C56,Rótulos!$H$5:$H$212,$D56,Rótulos!$I$5:$I$212,"=",Rótulos!$F$5:$F$212,"B2C")</f>
        <v>0</v>
      </c>
      <c r="I56" s="11" t="n">
        <f aca="false">SUMIFS(Rótulos!$G$5:$G$212,Rótulos!$A$5:$A$212,$A56,Rótulos!$B$5:$B$212,$B56,Rótulos!$C$5:$C$212,$C56,Rótulos!$H$5:$H$212,$D56,Rótulos!$I$5:$I$212,"=",Rótulos!$F$5:$F$212,"B2B")</f>
        <v>8</v>
      </c>
      <c r="J56" s="12" t="n">
        <f aca="false">H56+I56</f>
        <v>8</v>
      </c>
    </row>
    <row r="57" customFormat="false" ht="15" hidden="false" customHeight="false" outlineLevel="0" collapsed="false">
      <c r="A57" s="4" t="s">
        <v>45</v>
      </c>
      <c r="B57" s="4" t="s">
        <v>29</v>
      </c>
      <c r="C57" s="4" t="n">
        <v>400</v>
      </c>
      <c r="D57" s="4" t="s">
        <v>24</v>
      </c>
      <c r="E57" s="4" t="s">
        <v>31</v>
      </c>
      <c r="F57" s="4" t="s">
        <v>29</v>
      </c>
      <c r="G57" s="4" t="s">
        <v>30</v>
      </c>
      <c r="H57" s="11" t="n">
        <f aca="false">SUMIFS(Rótulos!$G$5:$G$212,Rótulos!$A$5:$A$212,$A57,Rótulos!$B$5:$B$212,$B57,Rótulos!$C$5:$C$212,$C57,Rótulos!$H$5:$H$212,$D57,Rótulos!$I$5:$I$212,$E57,Rótulos!$F$5:$F$212,"B2C")</f>
        <v>0</v>
      </c>
      <c r="I57" s="11" t="n">
        <f aca="false">SUMIFS(Rótulos!$G$5:$G$212,Rótulos!$A$5:$A$212,$A57,Rótulos!$B$5:$B$212,$B57,Rótulos!$C$5:$C$212,$C57,Rótulos!$H$5:$H$212,$D57,Rótulos!$I$5:$I$212,$E57,Rótulos!$F$5:$F$212,"B2B")</f>
        <v>24</v>
      </c>
      <c r="J57" s="12" t="n">
        <f aca="false">H57+I57</f>
        <v>24</v>
      </c>
    </row>
    <row r="58" customFormat="false" ht="15" hidden="false" customHeight="false" outlineLevel="0" collapsed="false">
      <c r="A58" s="4" t="s">
        <v>45</v>
      </c>
      <c r="B58" s="4" t="s">
        <v>29</v>
      </c>
      <c r="C58" s="4" t="n">
        <v>1000</v>
      </c>
      <c r="D58" s="4" t="s">
        <v>24</v>
      </c>
      <c r="E58" s="4" t="s">
        <v>32</v>
      </c>
      <c r="F58" s="4" t="s">
        <v>29</v>
      </c>
      <c r="G58" s="4" t="s">
        <v>30</v>
      </c>
      <c r="H58" s="11" t="n">
        <f aca="false">SUMIFS(Rótulos!$G$5:$G$212,Rótulos!$A$5:$A$212,$A58,Rótulos!$B$5:$B$212,$B58,Rótulos!$C$5:$C$212,$C58,Rótulos!$H$5:$H$212,$D58,Rótulos!$I$5:$I$212,$E58,Rótulos!$F$5:$F$212,"B2C")</f>
        <v>0</v>
      </c>
      <c r="I58" s="11" t="n">
        <f aca="false">SUMIFS(Rótulos!$G$5:$G$212,Rótulos!$A$5:$A$212,$A58,Rótulos!$B$5:$B$212,$B58,Rótulos!$C$5:$C$212,$C58,Rótulos!$H$5:$H$212,$D58,Rótulos!$I$5:$I$212,$E58,Rótulos!$F$5:$F$212,"B2B")</f>
        <v>8</v>
      </c>
      <c r="J58" s="12" t="n">
        <f aca="false">H58+I58</f>
        <v>8</v>
      </c>
    </row>
    <row r="59" customFormat="false" ht="15" hidden="false" customHeight="false" outlineLevel="0" collapsed="false">
      <c r="A59" s="4" t="s">
        <v>45</v>
      </c>
      <c r="B59" s="4" t="s">
        <v>33</v>
      </c>
      <c r="C59" s="4" t="n">
        <v>100</v>
      </c>
      <c r="D59" s="4" t="s">
        <v>24</v>
      </c>
      <c r="E59" s="4" t="s">
        <v>34</v>
      </c>
      <c r="F59" s="4" t="s">
        <v>33</v>
      </c>
      <c r="G59" s="4" t="s">
        <v>30</v>
      </c>
      <c r="H59" s="11" t="n">
        <f aca="false">SUMIFS(Rótulos!$G$5:$G$212,Rótulos!$A$5:$A$212,$A59,Rótulos!$B$5:$B$212,$B59,Rótulos!$C$5:$C$212,$C59,Rótulos!$H$5:$H$212,$D59,Rótulos!$I$5:$I$212,$E59,Rótulos!$F$5:$F$212,"B2C")</f>
        <v>0</v>
      </c>
      <c r="I59" s="11" t="n">
        <f aca="false">SUMIFS(Rótulos!$G$5:$G$212,Rótulos!$A$5:$A$212,$A59,Rótulos!$B$5:$B$212,$B59,Rótulos!$C$5:$C$212,$C59,Rótulos!$H$5:$H$212,$D59,Rótulos!$I$5:$I$212,$E59,Rótulos!$F$5:$F$212,"B2B")</f>
        <v>16</v>
      </c>
      <c r="J59" s="12" t="n">
        <f aca="false">H59+I59</f>
        <v>16</v>
      </c>
    </row>
    <row r="60" customFormat="false" ht="15" hidden="false" customHeight="false" outlineLevel="0" collapsed="false">
      <c r="A60" s="4" t="s">
        <v>45</v>
      </c>
      <c r="B60" s="4" t="s">
        <v>33</v>
      </c>
      <c r="C60" s="4" t="n">
        <v>500</v>
      </c>
      <c r="D60" s="4" t="s">
        <v>24</v>
      </c>
      <c r="E60" s="4" t="s">
        <v>31</v>
      </c>
      <c r="F60" s="4" t="s">
        <v>33</v>
      </c>
      <c r="G60" s="4" t="s">
        <v>30</v>
      </c>
      <c r="H60" s="11" t="n">
        <f aca="false">SUMIFS(Rótulos!$G$5:$G$212,Rótulos!$A$5:$A$212,$A60,Rótulos!$B$5:$B$212,$B60,Rótulos!$C$5:$C$212,$C60,Rótulos!$H$5:$H$212,$D60,Rótulos!$I$5:$I$212,$E60,Rótulos!$F$5:$F$212,"B2C")</f>
        <v>0</v>
      </c>
      <c r="I60" s="11" t="n">
        <f aca="false">SUMIFS(Rótulos!$G$5:$G$212,Rótulos!$A$5:$A$212,$A60,Rótulos!$B$5:$B$212,$B60,Rótulos!$C$5:$C$212,$C60,Rótulos!$H$5:$H$212,$D60,Rótulos!$I$5:$I$212,$E60,Rótulos!$F$5:$F$212,"B2B")</f>
        <v>13</v>
      </c>
      <c r="J60" s="12" t="n">
        <f aca="false">H60+I60</f>
        <v>13</v>
      </c>
    </row>
    <row r="61" customFormat="false" ht="15" hidden="false" customHeight="false" outlineLevel="0" collapsed="false">
      <c r="A61" s="4" t="s">
        <v>45</v>
      </c>
      <c r="B61" s="4" t="s">
        <v>18</v>
      </c>
      <c r="C61" s="4" t="n">
        <v>500</v>
      </c>
      <c r="D61" s="4" t="s">
        <v>24</v>
      </c>
      <c r="E61" s="4" t="s">
        <v>31</v>
      </c>
      <c r="F61" s="4" t="s">
        <v>18</v>
      </c>
      <c r="G61" s="4" t="s">
        <v>30</v>
      </c>
      <c r="H61" s="11" t="n">
        <f aca="false">SUMIFS(Rótulos!$G$5:$G$212,Rótulos!$A$5:$A$212,$A61,Rótulos!$B$5:$B$212,$B61,Rótulos!$C$5:$C$212,$C61,Rótulos!$H$5:$H$212,$D61,Rótulos!$I$5:$I$212,$E61,Rótulos!$F$5:$F$212,"B2C")</f>
        <v>0</v>
      </c>
      <c r="I61" s="11" t="n">
        <f aca="false">SUMIFS(Rótulos!$G$5:$G$212,Rótulos!$A$5:$A$212,$A61,Rótulos!$B$5:$B$212,$B61,Rótulos!$C$5:$C$212,$C61,Rótulos!$H$5:$H$212,$D61,Rótulos!$I$5:$I$212,$E61,Rótulos!$F$5:$F$212,"B2B")</f>
        <v>16</v>
      </c>
      <c r="J61" s="12" t="n">
        <f aca="false">H61+I61</f>
        <v>16</v>
      </c>
    </row>
    <row r="62" customFormat="false" ht="15" hidden="false" customHeight="false" outlineLevel="0" collapsed="false">
      <c r="A62" s="4" t="s">
        <v>46</v>
      </c>
      <c r="B62" s="4" t="s">
        <v>29</v>
      </c>
      <c r="C62" s="4" t="n">
        <v>400</v>
      </c>
      <c r="D62" s="4" t="s">
        <v>24</v>
      </c>
      <c r="E62" s="4" t="s">
        <v>31</v>
      </c>
      <c r="F62" s="4" t="s">
        <v>29</v>
      </c>
      <c r="G62" s="4" t="s">
        <v>30</v>
      </c>
      <c r="H62" s="11" t="n">
        <f aca="false">SUMIFS(Rótulos!$G$5:$G$212,Rótulos!$A$5:$A$212,$A62,Rótulos!$B$5:$B$212,$B62,Rótulos!$C$5:$C$212,$C62,Rótulos!$H$5:$H$212,$D62,Rótulos!$I$5:$I$212,$E62,Rótulos!$F$5:$F$212,"B2C")</f>
        <v>0</v>
      </c>
      <c r="I62" s="11" t="n">
        <f aca="false">SUMIFS(Rótulos!$G$5:$G$212,Rótulos!$A$5:$A$212,$A62,Rótulos!$B$5:$B$212,$B62,Rótulos!$C$5:$C$212,$C62,Rótulos!$H$5:$H$212,$D62,Rótulos!$I$5:$I$212,$E62,Rótulos!$F$5:$F$212,"B2B")</f>
        <v>18</v>
      </c>
      <c r="J62" s="12" t="n">
        <f aca="false">H62+I62</f>
        <v>18</v>
      </c>
    </row>
    <row r="63" customFormat="false" ht="15" hidden="false" customHeight="false" outlineLevel="0" collapsed="false">
      <c r="A63" s="4" t="s">
        <v>47</v>
      </c>
      <c r="B63" s="4" t="s">
        <v>12</v>
      </c>
      <c r="C63" s="4" t="n">
        <v>15</v>
      </c>
      <c r="D63" s="4" t="s">
        <v>16</v>
      </c>
      <c r="E63" s="4" t="s">
        <v>17</v>
      </c>
      <c r="F63" s="4" t="s">
        <v>14</v>
      </c>
      <c r="G63" s="4" t="s">
        <v>15</v>
      </c>
      <c r="H63" s="11" t="n">
        <f aca="false">SUMIFS(Rótulos!$G$5:$G$212,Rótulos!$A$5:$A$212,$A63,Rótulos!$B$5:$B$212,$B63,Rótulos!$C$5:$C$212,$C63,Rótulos!$H$5:$H$212,$D63,Rótulos!$I$5:$I$212,$E63,Rótulos!$F$5:$F$212,"B2C")</f>
        <v>200</v>
      </c>
      <c r="I63" s="11" t="n">
        <f aca="false">SUMIFS(Rótulos!$G$5:$G$212,Rótulos!$A$5:$A$212,$A63,Rótulos!$B$5:$B$212,$B63,Rótulos!$C$5:$C$212,$C63,Rótulos!$H$5:$H$212,$D63,Rótulos!$I$5:$I$212,$E63,Rótulos!$F$5:$F$212,"B2B")</f>
        <v>0</v>
      </c>
      <c r="J63" s="12" t="n">
        <f aca="false">H63+I63</f>
        <v>200</v>
      </c>
    </row>
    <row r="64" customFormat="false" ht="15" hidden="false" customHeight="false" outlineLevel="0" collapsed="false">
      <c r="A64" s="4" t="s">
        <v>47</v>
      </c>
      <c r="B64" s="4" t="s">
        <v>18</v>
      </c>
      <c r="C64" s="4" t="n">
        <v>250</v>
      </c>
      <c r="D64" s="4" t="s">
        <v>16</v>
      </c>
      <c r="E64" s="4" t="s">
        <v>21</v>
      </c>
      <c r="F64" s="4" t="s">
        <v>117</v>
      </c>
      <c r="G64" s="4" t="s">
        <v>15</v>
      </c>
      <c r="H64" s="11" t="n">
        <f aca="false">SUMIFS(Rótulos!$G$5:$G$212,Rótulos!$A$5:$A$212,$A64,Rótulos!$B$5:$B$212,$B64,Rótulos!$C$5:$C$212,$C64,Rótulos!$H$5:$H$212,$D64,Rótulos!$I$5:$I$212,$E64,Rótulos!$F$5:$F$212,"B2C")</f>
        <v>36</v>
      </c>
      <c r="I64" s="11" t="n">
        <f aca="false">SUMIFS(Rótulos!$G$5:$G$212,Rótulos!$A$5:$A$212,$A64,Rótulos!$B$5:$B$212,$B64,Rótulos!$C$5:$C$212,$C64,Rótulos!$H$5:$H$212,$D64,Rótulos!$I$5:$I$212,$E64,Rótulos!$F$5:$F$212,"B2B")</f>
        <v>0</v>
      </c>
      <c r="J64" s="12" t="n">
        <f aca="false">H64+I64</f>
        <v>36</v>
      </c>
    </row>
    <row r="65" customFormat="false" ht="15" hidden="false" customHeight="false" outlineLevel="0" collapsed="false">
      <c r="A65" s="4" t="s">
        <v>47</v>
      </c>
      <c r="B65" s="4" t="s">
        <v>18</v>
      </c>
      <c r="C65" s="4" t="n">
        <v>250</v>
      </c>
      <c r="D65" s="4" t="s">
        <v>24</v>
      </c>
      <c r="E65" s="4" t="s">
        <v>25</v>
      </c>
      <c r="F65" s="4" t="s">
        <v>23</v>
      </c>
      <c r="G65" s="4" t="s">
        <v>15</v>
      </c>
      <c r="H65" s="11" t="n">
        <f aca="false">SUMIFS(Rótulos!$G$5:$G$212,Rótulos!$A$5:$A$212,$A65,Rótulos!$B$5:$B$212,$B65,Rótulos!$C$5:$C$212,$C65,Rótulos!$H$5:$H$212,$D65,Rótulos!$I$5:$I$212,$E65,Rótulos!$F$5:$F$212,"B2C")</f>
        <v>12</v>
      </c>
      <c r="I65" s="11" t="n">
        <f aca="false">SUMIFS(Rótulos!$G$5:$G$212,Rótulos!$A$5:$A$212,$A65,Rótulos!$B$5:$B$212,$B65,Rótulos!$C$5:$C$212,$C65,Rótulos!$H$5:$H$212,$D65,Rótulos!$I$5:$I$212,$E65,Rótulos!$F$5:$F$212,"B2B")</f>
        <v>0</v>
      </c>
      <c r="J65" s="12" t="n">
        <f aca="false">H65+I65</f>
        <v>12</v>
      </c>
    </row>
    <row r="66" customFormat="false" ht="15" hidden="false" customHeight="false" outlineLevel="0" collapsed="false">
      <c r="A66" s="4" t="s">
        <v>48</v>
      </c>
      <c r="B66" s="4" t="s">
        <v>29</v>
      </c>
      <c r="C66" s="4" t="n">
        <v>400</v>
      </c>
      <c r="D66" s="4" t="s">
        <v>24</v>
      </c>
      <c r="E66" s="4" t="s">
        <v>31</v>
      </c>
      <c r="F66" s="4" t="s">
        <v>29</v>
      </c>
      <c r="G66" s="4" t="s">
        <v>30</v>
      </c>
      <c r="H66" s="11" t="n">
        <f aca="false">SUMIFS(Rótulos!$G$5:$G$212,Rótulos!$A$5:$A$212,$A66,Rótulos!$B$5:$B$212,$B66,Rótulos!$C$5:$C$212,$C66,Rótulos!$H$5:$H$212,$D66,Rótulos!$I$5:$I$212,$E66,Rótulos!$F$5:$F$212,"B2C")</f>
        <v>0</v>
      </c>
      <c r="I66" s="11" t="n">
        <f aca="false">SUMIFS(Rótulos!$G$5:$G$212,Rótulos!$A$5:$A$212,$A66,Rótulos!$B$5:$B$212,$B66,Rótulos!$C$5:$C$212,$C66,Rótulos!$H$5:$H$212,$D66,Rótulos!$I$5:$I$212,$E66,Rótulos!$F$5:$F$212,"B2B")</f>
        <v>31</v>
      </c>
      <c r="J66" s="12" t="n">
        <f aca="false">H66+I66</f>
        <v>31</v>
      </c>
    </row>
    <row r="67" customFormat="false" ht="15" hidden="false" customHeight="false" outlineLevel="0" collapsed="false">
      <c r="A67" s="4" t="s">
        <v>48</v>
      </c>
      <c r="B67" s="4" t="s">
        <v>33</v>
      </c>
      <c r="C67" s="4" t="n">
        <v>100</v>
      </c>
      <c r="D67" s="4" t="s">
        <v>24</v>
      </c>
      <c r="E67" s="4" t="s">
        <v>34</v>
      </c>
      <c r="F67" s="4" t="s">
        <v>33</v>
      </c>
      <c r="G67" s="4" t="s">
        <v>30</v>
      </c>
      <c r="H67" s="11" t="n">
        <f aca="false">SUMIFS(Rótulos!$G$5:$G$212,Rótulos!$A$5:$A$212,$A67,Rótulos!$B$5:$B$212,$B67,Rótulos!$C$5:$C$212,$C67,Rótulos!$H$5:$H$212,$D67,Rótulos!$I$5:$I$212,$E67,Rótulos!$F$5:$F$212,"B2C")</f>
        <v>0</v>
      </c>
      <c r="I67" s="11" t="n">
        <f aca="false">SUMIFS(Rótulos!$G$5:$G$212,Rótulos!$A$5:$A$212,$A67,Rótulos!$B$5:$B$212,$B67,Rótulos!$C$5:$C$212,$C67,Rótulos!$H$5:$H$212,$D67,Rótulos!$I$5:$I$212,$E67,Rótulos!$F$5:$F$212,"B2B")</f>
        <v>3</v>
      </c>
      <c r="J67" s="12" t="n">
        <f aca="false">H67+I67</f>
        <v>3</v>
      </c>
    </row>
    <row r="68" customFormat="false" ht="15" hidden="false" customHeight="false" outlineLevel="0" collapsed="false">
      <c r="A68" s="4" t="s">
        <v>48</v>
      </c>
      <c r="B68" s="4" t="s">
        <v>33</v>
      </c>
      <c r="C68" s="4" t="n">
        <v>500</v>
      </c>
      <c r="D68" s="4" t="s">
        <v>24</v>
      </c>
      <c r="E68" s="4" t="s">
        <v>31</v>
      </c>
      <c r="F68" s="4" t="s">
        <v>33</v>
      </c>
      <c r="G68" s="4" t="s">
        <v>30</v>
      </c>
      <c r="H68" s="11" t="n">
        <f aca="false">SUMIFS(Rótulos!$G$5:$G$212,Rótulos!$A$5:$A$212,$A68,Rótulos!$B$5:$B$212,$B68,Rótulos!$C$5:$C$212,$C68,Rótulos!$H$5:$H$212,$D68,Rótulos!$I$5:$I$212,$E68,Rótulos!$F$5:$F$212,"B2C")</f>
        <v>0</v>
      </c>
      <c r="I68" s="11" t="n">
        <f aca="false">SUMIFS(Rótulos!$G$5:$G$212,Rótulos!$A$5:$A$212,$A68,Rótulos!$B$5:$B$212,$B68,Rótulos!$C$5:$C$212,$C68,Rótulos!$H$5:$H$212,$D68,Rótulos!$I$5:$I$212,$E68,Rótulos!$F$5:$F$212,"B2B")</f>
        <v>128</v>
      </c>
      <c r="J68" s="12" t="n">
        <f aca="false">H68+I68</f>
        <v>128</v>
      </c>
    </row>
    <row r="69" customFormat="false" ht="15" hidden="false" customHeight="false" outlineLevel="0" collapsed="false">
      <c r="A69" s="4" t="s">
        <v>48</v>
      </c>
      <c r="B69" s="4" t="s">
        <v>33</v>
      </c>
      <c r="C69" s="4" t="n">
        <v>1000</v>
      </c>
      <c r="D69" s="4" t="s">
        <v>24</v>
      </c>
      <c r="E69" s="4" t="s">
        <v>32</v>
      </c>
      <c r="F69" s="4" t="s">
        <v>33</v>
      </c>
      <c r="G69" s="4" t="s">
        <v>30</v>
      </c>
      <c r="H69" s="11" t="n">
        <f aca="false">SUMIFS(Rótulos!$G$5:$G$212,Rótulos!$A$5:$A$212,$A69,Rótulos!$B$5:$B$212,$B69,Rótulos!$C$5:$C$212,$C69,Rótulos!$H$5:$H$212,$D69,Rótulos!$I$5:$I$212,$E69,Rótulos!$F$5:$F$212,"B2C")</f>
        <v>0</v>
      </c>
      <c r="I69" s="11" t="n">
        <f aca="false">SUMIFS(Rótulos!$G$5:$G$212,Rótulos!$A$5:$A$212,$A69,Rótulos!$B$5:$B$212,$B69,Rótulos!$C$5:$C$212,$C69,Rótulos!$H$5:$H$212,$D69,Rótulos!$I$5:$I$212,$E69,Rótulos!$F$5:$F$212,"B2B")</f>
        <v>9</v>
      </c>
      <c r="J69" s="12" t="n">
        <f aca="false">H69+I69</f>
        <v>9</v>
      </c>
    </row>
    <row r="70" customFormat="false" ht="15" hidden="false" customHeight="false" outlineLevel="0" collapsed="false">
      <c r="A70" s="17" t="s">
        <v>48</v>
      </c>
      <c r="B70" s="17" t="s">
        <v>18</v>
      </c>
      <c r="C70" s="17" t="n">
        <v>250</v>
      </c>
      <c r="D70" s="17" t="s">
        <v>24</v>
      </c>
      <c r="E70" s="17" t="s">
        <v>25</v>
      </c>
      <c r="F70" s="17" t="s">
        <v>118</v>
      </c>
      <c r="G70" s="17" t="s">
        <v>105</v>
      </c>
      <c r="H70" s="18" t="n">
        <f aca="false">SUMIFS(Rótulos!$G$5:$G$212,Rótulos!$A$5:$A$212,$A70,Rótulos!$B$5:$B$212,$B70,Rótulos!$C$5:$C$212,$C70,Rótulos!$H$5:$H$212,$D70,Rótulos!$I$5:$I$212,$E70,Rótulos!$F$5:$F$212,"B2C")</f>
        <v>2</v>
      </c>
      <c r="I70" s="18" t="n">
        <f aca="false">SUMIFS(Rótulos!$G$5:$G$212,Rótulos!$A$5:$A$212,$A70,Rótulos!$B$5:$B$212,$B70,Rótulos!$C$5:$C$212,$C70,Rótulos!$H$5:$H$212,$D70,Rótulos!$I$5:$I$212,$E70,Rótulos!$F$5:$F$212,"B2B")</f>
        <v>80</v>
      </c>
      <c r="J70" s="19" t="n">
        <f aca="false">H70+I70</f>
        <v>82</v>
      </c>
    </row>
    <row r="71" customFormat="false" ht="15" hidden="false" customHeight="false" outlineLevel="0" collapsed="false">
      <c r="A71" s="4" t="s">
        <v>48</v>
      </c>
      <c r="B71" s="4" t="s">
        <v>12</v>
      </c>
      <c r="C71" s="4" t="n">
        <v>15</v>
      </c>
      <c r="D71" s="4" t="s">
        <v>16</v>
      </c>
      <c r="E71" s="4" t="s">
        <v>17</v>
      </c>
      <c r="F71" s="4" t="s">
        <v>14</v>
      </c>
      <c r="G71" s="4" t="s">
        <v>15</v>
      </c>
      <c r="H71" s="11" t="n">
        <f aca="false">SUMIFS(Rótulos!$G$5:$G$212,Rótulos!$A$5:$A$212,$A71,Rótulos!$B$5:$B$212,$B71,Rótulos!$C$5:$C$212,$C71,Rótulos!$H$5:$H$212,$D71,Rótulos!$I$5:$I$212,$E71,Rótulos!$F$5:$F$212,"B2C")</f>
        <v>100</v>
      </c>
      <c r="I71" s="11" t="n">
        <f aca="false">SUMIFS(Rótulos!$G$5:$G$212,Rótulos!$A$5:$A$212,$A71,Rótulos!$B$5:$B$212,$B71,Rótulos!$C$5:$C$212,$C71,Rótulos!$H$5:$H$212,$D71,Rótulos!$I$5:$I$212,$E71,Rótulos!$F$5:$F$212,"B2B")</f>
        <v>0</v>
      </c>
      <c r="J71" s="12" t="n">
        <f aca="false">H71+I71</f>
        <v>100</v>
      </c>
    </row>
    <row r="72" customFormat="false" ht="15" hidden="false" customHeight="false" outlineLevel="0" collapsed="false">
      <c r="A72" s="4" t="s">
        <v>48</v>
      </c>
      <c r="B72" s="4" t="s">
        <v>12</v>
      </c>
      <c r="C72" s="4" t="n">
        <v>500</v>
      </c>
      <c r="D72" s="4" t="s">
        <v>24</v>
      </c>
      <c r="E72" s="4" t="s">
        <v>31</v>
      </c>
      <c r="F72" s="4" t="s">
        <v>35</v>
      </c>
      <c r="G72" s="4" t="s">
        <v>15</v>
      </c>
      <c r="H72" s="11" t="n">
        <f aca="false">SUMIFS(Rótulos!$G$5:$G$212,Rótulos!$A$5:$A$212,$A72,Rótulos!$B$5:$B$212,$B72,Rótulos!$C$5:$C$212,$C72,Rótulos!$H$5:$H$212,$D72,Rótulos!$I$5:$I$212,$E72,Rótulos!$F$5:$F$212,"B2C")</f>
        <v>10</v>
      </c>
      <c r="I72" s="11" t="n">
        <f aca="false">SUMIFS(Rótulos!$G$5:$G$212,Rótulos!$A$5:$A$212,$A72,Rótulos!$B$5:$B$212,$B72,Rótulos!$C$5:$C$212,$C72,Rótulos!$H$5:$H$212,$D72,Rótulos!$I$5:$I$212,$E72,Rótulos!$F$5:$F$212,"B2B")</f>
        <v>0</v>
      </c>
      <c r="J72" s="12" t="n">
        <f aca="false">H72+I72</f>
        <v>10</v>
      </c>
    </row>
    <row r="73" customFormat="false" ht="15" hidden="false" customHeight="false" outlineLevel="0" collapsed="false">
      <c r="A73" s="4" t="s">
        <v>48</v>
      </c>
      <c r="B73" s="4" t="s">
        <v>29</v>
      </c>
      <c r="C73" s="4" t="n">
        <v>15</v>
      </c>
      <c r="D73" s="4" t="s">
        <v>16</v>
      </c>
      <c r="E73" s="4" t="s">
        <v>17</v>
      </c>
      <c r="F73" s="4" t="s">
        <v>36</v>
      </c>
      <c r="G73" s="4" t="s">
        <v>15</v>
      </c>
      <c r="H73" s="11" t="n">
        <f aca="false">SUMIFS(Rótulos!$G$5:$G$212,Rótulos!$A$5:$A$212,$A73,Rótulos!$B$5:$B$212,$B73,Rótulos!$C$5:$C$212,$C73,Rótulos!$H$5:$H$212,$D73,Rótulos!$I$5:$I$212,$E73,Rótulos!$F$5:$F$212,"B2C")</f>
        <v>100</v>
      </c>
      <c r="I73" s="11" t="n">
        <f aca="false">SUMIFS(Rótulos!$G$5:$G$212,Rótulos!$A$5:$A$212,$A73,Rótulos!$B$5:$B$212,$B73,Rótulos!$C$5:$C$212,$C73,Rótulos!$H$5:$H$212,$D73,Rótulos!$I$5:$I$212,$E73,Rótulos!$F$5:$F$212,"B2B")</f>
        <v>0</v>
      </c>
      <c r="J73" s="12" t="n">
        <f aca="false">H73+I73</f>
        <v>100</v>
      </c>
    </row>
    <row r="74" customFormat="false" ht="15" hidden="false" customHeight="false" outlineLevel="0" collapsed="false">
      <c r="A74" s="4" t="s">
        <v>48</v>
      </c>
      <c r="B74" s="4" t="s">
        <v>29</v>
      </c>
      <c r="C74" s="4" t="n">
        <v>100</v>
      </c>
      <c r="D74" s="4" t="s">
        <v>24</v>
      </c>
      <c r="E74" s="4" t="s">
        <v>34</v>
      </c>
      <c r="F74" s="4" t="s">
        <v>36</v>
      </c>
      <c r="G74" s="4" t="s">
        <v>15</v>
      </c>
      <c r="H74" s="11" t="n">
        <f aca="false">SUMIFS(Rótulos!$G$5:$G$212,Rótulos!$A$5:$A$212,$A74,Rótulos!$B$5:$B$212,$B74,Rótulos!$C$5:$C$212,$C74,Rótulos!$H$5:$H$212,$D74,Rótulos!$I$5:$I$212,$E74,Rótulos!$F$5:$F$212,"B2C")</f>
        <v>30</v>
      </c>
      <c r="I74" s="11" t="n">
        <f aca="false">SUMIFS(Rótulos!$G$5:$G$212,Rótulos!$A$5:$A$212,$A74,Rótulos!$B$5:$B$212,$B74,Rótulos!$C$5:$C$212,$C74,Rótulos!$H$5:$H$212,$D74,Rótulos!$I$5:$I$212,$E74,Rótulos!$F$5:$F$212,"B2B")</f>
        <v>0</v>
      </c>
      <c r="J74" s="12" t="n">
        <f aca="false">H74+I74</f>
        <v>30</v>
      </c>
    </row>
    <row r="75" customFormat="false" ht="15" hidden="false" customHeight="false" outlineLevel="0" collapsed="false">
      <c r="A75" s="4" t="s">
        <v>48</v>
      </c>
      <c r="B75" s="4" t="s">
        <v>18</v>
      </c>
      <c r="C75" s="4" t="n">
        <v>250</v>
      </c>
      <c r="D75" s="4" t="s">
        <v>16</v>
      </c>
      <c r="E75" s="4" t="s">
        <v>21</v>
      </c>
      <c r="F75" s="4" t="s">
        <v>117</v>
      </c>
      <c r="G75" s="4" t="s">
        <v>15</v>
      </c>
      <c r="H75" s="11" t="n">
        <f aca="false">SUMIFS(Rótulos!$G$5:$G$212,Rótulos!$A$5:$A$212,$A75,Rótulos!$B$5:$B$212,$B75,Rótulos!$C$5:$C$212,$C75,Rótulos!$H$5:$H$212,$D75,Rótulos!$I$5:$I$212,$E75,Rótulos!$F$5:$F$212,"B2C")</f>
        <v>16</v>
      </c>
      <c r="I75" s="11" t="n">
        <f aca="false">SUMIFS(Rótulos!$G$5:$G$212,Rótulos!$A$5:$A$212,$A75,Rótulos!$B$5:$B$212,$B75,Rótulos!$C$5:$C$212,$C75,Rótulos!$H$5:$H$212,$D75,Rótulos!$I$5:$I$212,$E75,Rótulos!$F$5:$F$212,"B2B")</f>
        <v>0</v>
      </c>
      <c r="J75" s="12" t="n">
        <f aca="false">H75+I75</f>
        <v>16</v>
      </c>
    </row>
    <row r="76" customFormat="false" ht="15" hidden="false" customHeight="false" outlineLevel="0" collapsed="false">
      <c r="A76" s="4" t="s">
        <v>49</v>
      </c>
      <c r="B76" s="4" t="s">
        <v>18</v>
      </c>
      <c r="C76" s="4" t="n">
        <v>150</v>
      </c>
      <c r="D76" s="4" t="s">
        <v>24</v>
      </c>
      <c r="E76" s="4" t="s">
        <v>25</v>
      </c>
      <c r="F76" s="4" t="s">
        <v>18</v>
      </c>
      <c r="G76" s="4" t="s">
        <v>30</v>
      </c>
      <c r="H76" s="11" t="n">
        <f aca="false">SUMIFS(Rótulos!$G$5:$G$212,Rótulos!$A$5:$A$212,$A76,Rótulos!$B$5:$B$212,$B76,Rótulos!$C$5:$C$212,$C76,Rótulos!$H$5:$H$212,$D76,Rótulos!$I$5:$I$212,$E76,Rótulos!$F$5:$F$212,"B2C")</f>
        <v>0</v>
      </c>
      <c r="I76" s="11" t="n">
        <f aca="false">SUMIFS(Rótulos!$G$5:$G$212,Rótulos!$A$5:$A$212,$A76,Rótulos!$B$5:$B$212,$B76,Rótulos!$C$5:$C$212,$C76,Rótulos!$H$5:$H$212,$D76,Rótulos!$I$5:$I$212,$E76,Rótulos!$F$5:$F$212,"B2B")</f>
        <v>8</v>
      </c>
      <c r="J76" s="12" t="n">
        <f aca="false">H76+I76</f>
        <v>8</v>
      </c>
    </row>
    <row r="77" customFormat="false" ht="15" hidden="false" customHeight="false" outlineLevel="0" collapsed="false">
      <c r="A77" s="4" t="s">
        <v>50</v>
      </c>
      <c r="B77" s="4" t="s">
        <v>33</v>
      </c>
      <c r="C77" s="4" t="n">
        <v>500</v>
      </c>
      <c r="D77" s="4" t="s">
        <v>24</v>
      </c>
      <c r="E77" s="4" t="s">
        <v>31</v>
      </c>
      <c r="F77" s="4" t="s">
        <v>33</v>
      </c>
      <c r="G77" s="4" t="s">
        <v>30</v>
      </c>
      <c r="H77" s="11" t="n">
        <f aca="false">SUMIFS(Rótulos!$G$5:$G$212,Rótulos!$A$5:$A$212,$A77,Rótulos!$B$5:$B$212,$B77,Rótulos!$C$5:$C$212,$C77,Rótulos!$H$5:$H$212,$D77,Rótulos!$I$5:$I$212,$E77,Rótulos!$F$5:$F$212,"B2C")</f>
        <v>0</v>
      </c>
      <c r="I77" s="11" t="n">
        <f aca="false">SUMIFS(Rótulos!$G$5:$G$212,Rótulos!$A$5:$A$212,$A77,Rótulos!$B$5:$B$212,$B77,Rótulos!$C$5:$C$212,$C77,Rótulos!$H$5:$H$212,$D77,Rótulos!$I$5:$I$212,$E77,Rótulos!$F$5:$F$212,"B2B")</f>
        <v>19</v>
      </c>
      <c r="J77" s="12" t="n">
        <f aca="false">H77+I77</f>
        <v>19</v>
      </c>
    </row>
    <row r="78" customFormat="false" ht="15" hidden="false" customHeight="false" outlineLevel="0" collapsed="false">
      <c r="A78" s="4" t="s">
        <v>51</v>
      </c>
      <c r="B78" s="4" t="s">
        <v>33</v>
      </c>
      <c r="C78" s="4" t="n">
        <v>500</v>
      </c>
      <c r="D78" s="4" t="s">
        <v>24</v>
      </c>
      <c r="E78" s="4" t="s">
        <v>31</v>
      </c>
      <c r="F78" s="4" t="s">
        <v>33</v>
      </c>
      <c r="G78" s="4" t="s">
        <v>30</v>
      </c>
      <c r="H78" s="11" t="n">
        <f aca="false">SUMIFS(Rótulos!$G$5:$G$212,Rótulos!$A$5:$A$212,$A78,Rótulos!$B$5:$B$212,$B78,Rótulos!$C$5:$C$212,$C78,Rótulos!$H$5:$H$212,$D78,Rótulos!$I$5:$I$212,$E78,Rótulos!$F$5:$F$212,"B2C")</f>
        <v>0</v>
      </c>
      <c r="I78" s="11" t="n">
        <f aca="false">SUMIFS(Rótulos!$G$5:$G$212,Rótulos!$A$5:$A$212,$A78,Rótulos!$B$5:$B$212,$B78,Rótulos!$C$5:$C$212,$C78,Rótulos!$H$5:$H$212,$D78,Rótulos!$I$5:$I$212,$E78,Rótulos!$F$5:$F$212,"B2B")</f>
        <v>27</v>
      </c>
      <c r="J78" s="12" t="n">
        <f aca="false">H78+I78</f>
        <v>27</v>
      </c>
    </row>
    <row r="79" customFormat="false" ht="15" hidden="false" customHeight="false" outlineLevel="0" collapsed="false">
      <c r="A79" s="4" t="s">
        <v>52</v>
      </c>
      <c r="B79" s="4" t="s">
        <v>29</v>
      </c>
      <c r="C79" s="4" t="n">
        <v>400</v>
      </c>
      <c r="D79" s="4" t="s">
        <v>24</v>
      </c>
      <c r="E79" s="4" t="s">
        <v>31</v>
      </c>
      <c r="F79" s="4" t="s">
        <v>29</v>
      </c>
      <c r="G79" s="4" t="s">
        <v>30</v>
      </c>
      <c r="H79" s="11" t="n">
        <f aca="false">SUMIFS(Rótulos!$G$5:$G$212,Rótulos!$A$5:$A$212,$A79,Rótulos!$B$5:$B$212,$B79,Rótulos!$C$5:$C$212,$C79,Rótulos!$H$5:$H$212,$D79,Rótulos!$I$5:$I$212,$E79,Rótulos!$F$5:$F$212,"B2C")</f>
        <v>0</v>
      </c>
      <c r="I79" s="11" t="n">
        <f aca="false">SUMIFS(Rótulos!$G$5:$G$212,Rótulos!$A$5:$A$212,$A79,Rótulos!$B$5:$B$212,$B79,Rótulos!$C$5:$C$212,$C79,Rótulos!$H$5:$H$212,$D79,Rótulos!$I$5:$I$212,$E79,Rótulos!$F$5:$F$212,"B2B")</f>
        <v>2</v>
      </c>
      <c r="J79" s="12" t="n">
        <f aca="false">H79+I79</f>
        <v>2</v>
      </c>
    </row>
    <row r="80" customFormat="false" ht="15" hidden="false" customHeight="false" outlineLevel="0" collapsed="false">
      <c r="A80" s="4" t="s">
        <v>53</v>
      </c>
      <c r="B80" s="4" t="s">
        <v>12</v>
      </c>
      <c r="C80" s="4" t="n">
        <v>15</v>
      </c>
      <c r="D80" s="4" t="s">
        <v>16</v>
      </c>
      <c r="E80" s="4" t="s">
        <v>17</v>
      </c>
      <c r="F80" s="4" t="s">
        <v>14</v>
      </c>
      <c r="G80" s="4" t="s">
        <v>15</v>
      </c>
      <c r="H80" s="11" t="n">
        <f aca="false">SUMIFS(Rótulos!$G$5:$G$212,Rótulos!$A$5:$A$212,$A80,Rótulos!$B$5:$B$212,$B80,Rótulos!$C$5:$C$212,$C80,Rótulos!$H$5:$H$212,$D80,Rótulos!$I$5:$I$212,$E80,Rótulos!$F$5:$F$212,"B2C")</f>
        <v>200</v>
      </c>
      <c r="I80" s="11" t="n">
        <f aca="false">SUMIFS(Rótulos!$G$5:$G$212,Rótulos!$A$5:$A$212,$A80,Rótulos!$B$5:$B$212,$B80,Rótulos!$C$5:$C$212,$C80,Rótulos!$H$5:$H$212,$D80,Rótulos!$I$5:$I$212,$E80,Rótulos!$F$5:$F$212,"B2B")</f>
        <v>0</v>
      </c>
      <c r="J80" s="12" t="n">
        <f aca="false">H80+I80</f>
        <v>200</v>
      </c>
    </row>
    <row r="81" customFormat="false" ht="15" hidden="false" customHeight="false" outlineLevel="0" collapsed="false">
      <c r="A81" s="4" t="s">
        <v>53</v>
      </c>
      <c r="B81" s="4" t="s">
        <v>18</v>
      </c>
      <c r="C81" s="4" t="n">
        <v>250</v>
      </c>
      <c r="D81" s="4" t="s">
        <v>16</v>
      </c>
      <c r="E81" s="4" t="s">
        <v>21</v>
      </c>
      <c r="F81" s="4" t="s">
        <v>117</v>
      </c>
      <c r="G81" s="4" t="s">
        <v>15</v>
      </c>
      <c r="H81" s="11" t="n">
        <f aca="false">SUMIFS(Rótulos!$G$5:$G$212,Rótulos!$A$5:$A$212,$A81,Rótulos!$B$5:$B$212,$B81,Rótulos!$C$5:$C$212,$C81,Rótulos!$H$5:$H$212,$D81,Rótulos!$I$5:$I$212,$E81,Rótulos!$F$5:$F$212,"B2C")</f>
        <v>36</v>
      </c>
      <c r="I81" s="11" t="n">
        <f aca="false">SUMIFS(Rótulos!$G$5:$G$212,Rótulos!$A$5:$A$212,$A81,Rótulos!$B$5:$B$212,$B81,Rótulos!$C$5:$C$212,$C81,Rótulos!$H$5:$H$212,$D81,Rótulos!$I$5:$I$212,$E81,Rótulos!$F$5:$F$212,"B2B")</f>
        <v>0</v>
      </c>
      <c r="J81" s="12" t="n">
        <f aca="false">H81+I81</f>
        <v>36</v>
      </c>
    </row>
    <row r="82" customFormat="false" ht="15" hidden="false" customHeight="false" outlineLevel="0" collapsed="false">
      <c r="A82" s="4" t="s">
        <v>53</v>
      </c>
      <c r="B82" s="4" t="s">
        <v>18</v>
      </c>
      <c r="C82" s="4" t="n">
        <v>250</v>
      </c>
      <c r="D82" s="4" t="s">
        <v>24</v>
      </c>
      <c r="E82" s="4" t="s">
        <v>25</v>
      </c>
      <c r="F82" s="4" t="s">
        <v>23</v>
      </c>
      <c r="G82" s="4" t="s">
        <v>15</v>
      </c>
      <c r="H82" s="11" t="n">
        <f aca="false">SUMIFS(Rótulos!$G$5:$G$212,Rótulos!$A$5:$A$212,$A82,Rótulos!$B$5:$B$212,$B82,Rótulos!$C$5:$C$212,$C82,Rótulos!$H$5:$H$212,$D82,Rótulos!$I$5:$I$212,$E82,Rótulos!$F$5:$F$212,"B2C")</f>
        <v>12</v>
      </c>
      <c r="I82" s="11" t="n">
        <f aca="false">SUMIFS(Rótulos!$G$5:$G$212,Rótulos!$A$5:$A$212,$A82,Rótulos!$B$5:$B$212,$B82,Rótulos!$C$5:$C$212,$C82,Rótulos!$H$5:$H$212,$D82,Rótulos!$I$5:$I$212,$E82,Rótulos!$F$5:$F$212,"B2B")</f>
        <v>0</v>
      </c>
      <c r="J82" s="12" t="n">
        <f aca="false">H82+I82</f>
        <v>12</v>
      </c>
    </row>
    <row r="83" customFormat="false" ht="15" hidden="false" customHeight="false" outlineLevel="0" collapsed="false">
      <c r="A83" s="4" t="s">
        <v>54</v>
      </c>
      <c r="B83" s="4" t="s">
        <v>29</v>
      </c>
      <c r="C83" s="4" t="n">
        <v>160</v>
      </c>
      <c r="D83" s="4" t="s">
        <v>24</v>
      </c>
      <c r="E83" s="4" t="s">
        <v>106</v>
      </c>
      <c r="F83" s="4" t="s">
        <v>29</v>
      </c>
      <c r="G83" s="4" t="s">
        <v>30</v>
      </c>
      <c r="H83" s="11" t="n">
        <f aca="false">SUMIFS(Rótulos!$G$5:$G$212,Rótulos!$A$5:$A$212,$A83,Rótulos!$B$5:$B$212,$B83,Rótulos!$C$5:$C$212,$C83,Rótulos!$H$5:$H$212,$D83,Rótulos!$I$5:$I$212,"=",Rótulos!$F$5:$F$212,"B2C")</f>
        <v>0</v>
      </c>
      <c r="I83" s="11" t="n">
        <f aca="false">SUMIFS(Rótulos!$G$5:$G$212,Rótulos!$A$5:$A$212,$A83,Rótulos!$B$5:$B$212,$B83,Rótulos!$C$5:$C$212,$C83,Rótulos!$H$5:$H$212,$D83,Rótulos!$I$5:$I$212,"=",Rótulos!$F$5:$F$212,"B2B")</f>
        <v>3</v>
      </c>
      <c r="J83" s="12" t="n">
        <f aca="false">H83+I83</f>
        <v>3</v>
      </c>
    </row>
    <row r="84" customFormat="false" ht="15" hidden="false" customHeight="false" outlineLevel="0" collapsed="false">
      <c r="A84" s="4" t="s">
        <v>54</v>
      </c>
      <c r="B84" s="4" t="s">
        <v>29</v>
      </c>
      <c r="C84" s="4" t="n">
        <v>400</v>
      </c>
      <c r="D84" s="4" t="s">
        <v>24</v>
      </c>
      <c r="E84" s="4" t="s">
        <v>31</v>
      </c>
      <c r="F84" s="4" t="s">
        <v>29</v>
      </c>
      <c r="G84" s="4" t="s">
        <v>30</v>
      </c>
      <c r="H84" s="11" t="n">
        <f aca="false">SUMIFS(Rótulos!$G$5:$G$212,Rótulos!$A$5:$A$212,$A84,Rótulos!$B$5:$B$212,$B84,Rótulos!$C$5:$C$212,$C84,Rótulos!$H$5:$H$212,$D84,Rótulos!$I$5:$I$212,$E84,Rótulos!$F$5:$F$212,"B2C")</f>
        <v>0</v>
      </c>
      <c r="I84" s="11" t="n">
        <f aca="false">SUMIFS(Rótulos!$G$5:$G$212,Rótulos!$A$5:$A$212,$A84,Rótulos!$B$5:$B$212,$B84,Rótulos!$C$5:$C$212,$C84,Rótulos!$H$5:$H$212,$D84,Rótulos!$I$5:$I$212,$E84,Rótulos!$F$5:$F$212,"B2B")</f>
        <v>16</v>
      </c>
      <c r="J84" s="12" t="n">
        <f aca="false">H84+I84</f>
        <v>16</v>
      </c>
    </row>
    <row r="85" customFormat="false" ht="15" hidden="false" customHeight="false" outlineLevel="0" collapsed="false">
      <c r="A85" s="4" t="s">
        <v>54</v>
      </c>
      <c r="B85" s="4" t="s">
        <v>33</v>
      </c>
      <c r="C85" s="4" t="n">
        <v>100</v>
      </c>
      <c r="D85" s="4" t="s">
        <v>24</v>
      </c>
      <c r="E85" s="4" t="s">
        <v>34</v>
      </c>
      <c r="F85" s="4" t="s">
        <v>33</v>
      </c>
      <c r="G85" s="4" t="s">
        <v>30</v>
      </c>
      <c r="H85" s="11" t="n">
        <f aca="false">SUMIFS(Rótulos!$G$5:$G$212,Rótulos!$A$5:$A$212,$A85,Rótulos!$B$5:$B$212,$B85,Rótulos!$C$5:$C$212,$C85,Rótulos!$H$5:$H$212,$D85,Rótulos!$I$5:$I$212,$E85,Rótulos!$F$5:$F$212,"B2C")</f>
        <v>0</v>
      </c>
      <c r="I85" s="11" t="n">
        <f aca="false">SUMIFS(Rótulos!$G$5:$G$212,Rótulos!$A$5:$A$212,$A85,Rótulos!$B$5:$B$212,$B85,Rótulos!$C$5:$C$212,$C85,Rótulos!$H$5:$H$212,$D85,Rótulos!$I$5:$I$212,$E85,Rótulos!$F$5:$F$212,"B2B")</f>
        <v>10</v>
      </c>
      <c r="J85" s="12" t="n">
        <f aca="false">H85+I85</f>
        <v>10</v>
      </c>
    </row>
    <row r="86" customFormat="false" ht="15" hidden="false" customHeight="false" outlineLevel="0" collapsed="false">
      <c r="A86" s="4" t="s">
        <v>54</v>
      </c>
      <c r="B86" s="4" t="s">
        <v>33</v>
      </c>
      <c r="C86" s="4" t="n">
        <v>500</v>
      </c>
      <c r="D86" s="4" t="s">
        <v>24</v>
      </c>
      <c r="E86" s="4" t="s">
        <v>31</v>
      </c>
      <c r="F86" s="4" t="s">
        <v>33</v>
      </c>
      <c r="G86" s="4" t="s">
        <v>30</v>
      </c>
      <c r="H86" s="11" t="n">
        <f aca="false">SUMIFS(Rótulos!$G$5:$G$212,Rótulos!$A$5:$A$212,$A86,Rótulos!$B$5:$B$212,$B86,Rótulos!$C$5:$C$212,$C86,Rótulos!$H$5:$H$212,$D86,Rótulos!$I$5:$I$212,$E86,Rótulos!$F$5:$F$212,"B2C")</f>
        <v>0</v>
      </c>
      <c r="I86" s="11" t="n">
        <f aca="false">SUMIFS(Rótulos!$G$5:$G$212,Rótulos!$A$5:$A$212,$A86,Rótulos!$B$5:$B$212,$B86,Rótulos!$C$5:$C$212,$C86,Rótulos!$H$5:$H$212,$D86,Rótulos!$I$5:$I$212,$E86,Rótulos!$F$5:$F$212,"B2B")</f>
        <v>43</v>
      </c>
      <c r="J86" s="12" t="n">
        <f aca="false">H86+I86</f>
        <v>43</v>
      </c>
    </row>
    <row r="87" customFormat="false" ht="15" hidden="false" customHeight="false" outlineLevel="0" collapsed="false">
      <c r="A87" s="4" t="s">
        <v>54</v>
      </c>
      <c r="B87" s="4" t="s">
        <v>18</v>
      </c>
      <c r="C87" s="4" t="n">
        <v>150</v>
      </c>
      <c r="D87" s="4" t="s">
        <v>24</v>
      </c>
      <c r="E87" s="4" t="s">
        <v>25</v>
      </c>
      <c r="F87" s="4" t="s">
        <v>18</v>
      </c>
      <c r="G87" s="4" t="s">
        <v>30</v>
      </c>
      <c r="H87" s="11" t="n">
        <f aca="false">SUMIFS(Rótulos!$G$5:$G$212,Rótulos!$A$5:$A$212,$A87,Rótulos!$B$5:$B$212,$B87,Rótulos!$C$5:$C$212,$C87,Rótulos!$H$5:$H$212,$D87,Rótulos!$I$5:$I$212,$E87,Rótulos!$F$5:$F$212,"B2C")</f>
        <v>0</v>
      </c>
      <c r="I87" s="11" t="n">
        <f aca="false">SUMIFS(Rótulos!$G$5:$G$212,Rótulos!$A$5:$A$212,$A87,Rótulos!$B$5:$B$212,$B87,Rótulos!$C$5:$C$212,$C87,Rótulos!$H$5:$H$212,$D87,Rótulos!$I$5:$I$212,$E87,Rótulos!$F$5:$F$212,"B2B")</f>
        <v>4</v>
      </c>
      <c r="J87" s="12" t="n">
        <f aca="false">H87+I87</f>
        <v>4</v>
      </c>
    </row>
    <row r="88" customFormat="false" ht="15" hidden="false" customHeight="false" outlineLevel="0" collapsed="false">
      <c r="A88" s="4" t="s">
        <v>55</v>
      </c>
      <c r="B88" s="4" t="s">
        <v>33</v>
      </c>
      <c r="C88" s="4" t="n">
        <v>500</v>
      </c>
      <c r="D88" s="4" t="s">
        <v>24</v>
      </c>
      <c r="E88" s="4" t="s">
        <v>31</v>
      </c>
      <c r="F88" s="4" t="s">
        <v>33</v>
      </c>
      <c r="G88" s="4" t="s">
        <v>30</v>
      </c>
      <c r="H88" s="11" t="n">
        <f aca="false">SUMIFS(Rótulos!$G$5:$G$212,Rótulos!$A$5:$A$212,$A88,Rótulos!$B$5:$B$212,$B88,Rótulos!$C$5:$C$212,$C88,Rótulos!$H$5:$H$212,$D88,Rótulos!$I$5:$I$212,$E88,Rótulos!$F$5:$F$212,"B2C")</f>
        <v>0</v>
      </c>
      <c r="I88" s="11" t="n">
        <f aca="false">SUMIFS(Rótulos!$G$5:$G$212,Rótulos!$A$5:$A$212,$A88,Rótulos!$B$5:$B$212,$B88,Rótulos!$C$5:$C$212,$C88,Rótulos!$H$5:$H$212,$D88,Rótulos!$I$5:$I$212,$E88,Rótulos!$F$5:$F$212,"B2B")</f>
        <v>36</v>
      </c>
      <c r="J88" s="12" t="n">
        <f aca="false">H88+I88</f>
        <v>36</v>
      </c>
    </row>
    <row r="89" customFormat="false" ht="15" hidden="false" customHeight="false" outlineLevel="0" collapsed="false">
      <c r="A89" s="4" t="s">
        <v>56</v>
      </c>
      <c r="B89" s="4" t="s">
        <v>12</v>
      </c>
      <c r="C89" s="4" t="n">
        <v>150</v>
      </c>
      <c r="D89" s="4" t="s">
        <v>24</v>
      </c>
      <c r="E89" s="4" t="s">
        <v>25</v>
      </c>
      <c r="F89" s="4" t="s">
        <v>12</v>
      </c>
      <c r="G89" s="4" t="s">
        <v>30</v>
      </c>
      <c r="H89" s="11" t="n">
        <f aca="false">SUMIFS(Rótulos!$G$5:$G$212,Rótulos!$A$5:$A$212,$A89,Rótulos!$B$5:$B$212,$B89,Rótulos!$C$5:$C$212,$C89,Rótulos!$H$5:$H$212,$D89,Rótulos!$I$5:$I$212,$E89,Rótulos!$F$5:$F$212,"B2C")</f>
        <v>0</v>
      </c>
      <c r="I89" s="11" t="n">
        <f aca="false">SUMIFS(Rótulos!$G$5:$G$212,Rótulos!$A$5:$A$212,$A89,Rótulos!$B$5:$B$212,$B89,Rótulos!$C$5:$C$212,$C89,Rótulos!$H$5:$H$212,$D89,Rótulos!$I$5:$I$212,$E89,Rótulos!$F$5:$F$212,"B2B")</f>
        <v>25</v>
      </c>
      <c r="J89" s="12" t="n">
        <f aca="false">H89+I89</f>
        <v>25</v>
      </c>
    </row>
    <row r="90" customFormat="false" ht="15" hidden="false" customHeight="false" outlineLevel="0" collapsed="false">
      <c r="A90" s="4" t="s">
        <v>56</v>
      </c>
      <c r="B90" s="4" t="s">
        <v>12</v>
      </c>
      <c r="C90" s="4" t="n">
        <v>250</v>
      </c>
      <c r="D90" s="4" t="s">
        <v>24</v>
      </c>
      <c r="E90" s="4" t="s">
        <v>25</v>
      </c>
      <c r="F90" s="4" t="s">
        <v>12</v>
      </c>
      <c r="G90" s="4" t="s">
        <v>30</v>
      </c>
      <c r="H90" s="11" t="n">
        <f aca="false">SUMIFS(Rótulos!$G$5:$G$212,Rótulos!$A$5:$A$212,$A90,Rótulos!$B$5:$B$212,$B90,Rótulos!$C$5:$C$212,$C90,Rótulos!$H$5:$H$212,$D90,Rótulos!$I$5:$I$212,$E90,Rótulos!$F$5:$F$212,"B2C")</f>
        <v>0</v>
      </c>
      <c r="I90" s="11" t="n">
        <f aca="false">SUMIFS(Rótulos!$G$5:$G$212,Rótulos!$A$5:$A$212,$A90,Rótulos!$B$5:$B$212,$B90,Rótulos!$C$5:$C$212,$C90,Rótulos!$H$5:$H$212,$D90,Rótulos!$I$5:$I$212,$E90,Rótulos!$F$5:$F$212,"B2B")</f>
        <v>90</v>
      </c>
      <c r="J90" s="12" t="n">
        <f aca="false">H90+I90</f>
        <v>90</v>
      </c>
    </row>
    <row r="91" customFormat="false" ht="15" hidden="false" customHeight="false" outlineLevel="0" collapsed="false">
      <c r="A91" s="4" t="s">
        <v>56</v>
      </c>
      <c r="B91" s="4" t="s">
        <v>29</v>
      </c>
      <c r="C91" s="4" t="n">
        <v>160</v>
      </c>
      <c r="D91" s="4" t="s">
        <v>24</v>
      </c>
      <c r="E91" s="4" t="s">
        <v>106</v>
      </c>
      <c r="F91" s="4" t="s">
        <v>29</v>
      </c>
      <c r="G91" s="4" t="s">
        <v>30</v>
      </c>
      <c r="H91" s="11" t="n">
        <f aca="false">SUMIFS(Rótulos!$G$5:$G$212,Rótulos!$A$5:$A$212,$A91,Rótulos!$B$5:$B$212,$B91,Rótulos!$C$5:$C$212,$C91,Rótulos!$H$5:$H$212,$D91,Rótulos!$I$5:$I$212,"=",Rótulos!$F$5:$F$212,"B2C")</f>
        <v>0</v>
      </c>
      <c r="I91" s="11" t="n">
        <f aca="false">SUMIFS(Rótulos!$G$5:$G$212,Rótulos!$A$5:$A$212,$A91,Rótulos!$B$5:$B$212,$B91,Rótulos!$C$5:$C$212,$C91,Rótulos!$H$5:$H$212,$D91,Rótulos!$I$5:$I$212,"=",Rótulos!$F$5:$F$212,"B2B")</f>
        <v>7</v>
      </c>
      <c r="J91" s="12" t="n">
        <f aca="false">H91+I91</f>
        <v>7</v>
      </c>
    </row>
    <row r="92" customFormat="false" ht="15" hidden="false" customHeight="false" outlineLevel="0" collapsed="false">
      <c r="A92" s="4" t="s">
        <v>56</v>
      </c>
      <c r="B92" s="4" t="s">
        <v>29</v>
      </c>
      <c r="C92" s="4" t="n">
        <v>400</v>
      </c>
      <c r="D92" s="4" t="s">
        <v>24</v>
      </c>
      <c r="E92" s="4" t="s">
        <v>31</v>
      </c>
      <c r="F92" s="4" t="s">
        <v>29</v>
      </c>
      <c r="G92" s="4" t="s">
        <v>30</v>
      </c>
      <c r="H92" s="11" t="n">
        <f aca="false">SUMIFS(Rótulos!$G$5:$G$212,Rótulos!$A$5:$A$212,$A92,Rótulos!$B$5:$B$212,$B92,Rótulos!$C$5:$C$212,$C92,Rótulos!$H$5:$H$212,$D92,Rótulos!$I$5:$I$212,$E92,Rótulos!$F$5:$F$212,"B2C")</f>
        <v>0</v>
      </c>
      <c r="I92" s="11" t="n">
        <f aca="false">SUMIFS(Rótulos!$G$5:$G$212,Rótulos!$A$5:$A$212,$A92,Rótulos!$B$5:$B$212,$B92,Rótulos!$C$5:$C$212,$C92,Rótulos!$H$5:$H$212,$D92,Rótulos!$I$5:$I$212,$E92,Rótulos!$F$5:$F$212,"B2B")</f>
        <v>13</v>
      </c>
      <c r="J92" s="12" t="n">
        <f aca="false">H92+I92</f>
        <v>13</v>
      </c>
    </row>
    <row r="93" customFormat="false" ht="15" hidden="false" customHeight="false" outlineLevel="0" collapsed="false">
      <c r="A93" s="4" t="s">
        <v>56</v>
      </c>
      <c r="B93" s="4" t="s">
        <v>33</v>
      </c>
      <c r="C93" s="4" t="n">
        <v>100</v>
      </c>
      <c r="D93" s="4" t="s">
        <v>24</v>
      </c>
      <c r="E93" s="4" t="s">
        <v>34</v>
      </c>
      <c r="F93" s="4" t="s">
        <v>33</v>
      </c>
      <c r="G93" s="4" t="s">
        <v>30</v>
      </c>
      <c r="H93" s="11" t="n">
        <f aca="false">SUMIFS(Rótulos!$G$5:$G$212,Rótulos!$A$5:$A$212,$A93,Rótulos!$B$5:$B$212,$B93,Rótulos!$C$5:$C$212,$C93,Rótulos!$H$5:$H$212,$D93,Rótulos!$I$5:$I$212,$E93,Rótulos!$F$5:$F$212,"B2C")</f>
        <v>0</v>
      </c>
      <c r="I93" s="11" t="n">
        <f aca="false">SUMIFS(Rótulos!$G$5:$G$212,Rótulos!$A$5:$A$212,$A93,Rótulos!$B$5:$B$212,$B93,Rótulos!$C$5:$C$212,$C93,Rótulos!$H$5:$H$212,$D93,Rótulos!$I$5:$I$212,$E93,Rótulos!$F$5:$F$212,"B2B")</f>
        <v>10</v>
      </c>
      <c r="J93" s="12" t="n">
        <f aca="false">H93+I93</f>
        <v>10</v>
      </c>
    </row>
    <row r="94" customFormat="false" ht="15" hidden="false" customHeight="false" outlineLevel="0" collapsed="false">
      <c r="A94" s="4" t="s">
        <v>57</v>
      </c>
      <c r="B94" s="4" t="s">
        <v>33</v>
      </c>
      <c r="C94" s="4" t="n">
        <v>100</v>
      </c>
      <c r="D94" s="4" t="s">
        <v>24</v>
      </c>
      <c r="E94" s="4" t="s">
        <v>34</v>
      </c>
      <c r="F94" s="4" t="s">
        <v>33</v>
      </c>
      <c r="G94" s="4" t="s">
        <v>30</v>
      </c>
      <c r="H94" s="11" t="n">
        <f aca="false">SUMIFS(Rótulos!$G$5:$G$212,Rótulos!$A$5:$A$212,$A94,Rótulos!$B$5:$B$212,$B94,Rótulos!$C$5:$C$212,$C94,Rótulos!$H$5:$H$212,$D94,Rótulos!$I$5:$I$212,$E94,Rótulos!$F$5:$F$212,"B2C")</f>
        <v>0</v>
      </c>
      <c r="I94" s="11" t="n">
        <f aca="false">SUMIFS(Rótulos!$G$5:$G$212,Rótulos!$A$5:$A$212,$A94,Rótulos!$B$5:$B$212,$B94,Rótulos!$C$5:$C$212,$C94,Rótulos!$H$5:$H$212,$D94,Rótulos!$I$5:$I$212,$E94,Rótulos!$F$5:$F$212,"B2B")</f>
        <v>649</v>
      </c>
      <c r="J94" s="12" t="n">
        <f aca="false">H94+I94</f>
        <v>649</v>
      </c>
    </row>
    <row r="95" customFormat="false" ht="15" hidden="false" customHeight="false" outlineLevel="0" collapsed="false">
      <c r="A95" s="4" t="s">
        <v>58</v>
      </c>
      <c r="B95" s="4" t="s">
        <v>29</v>
      </c>
      <c r="C95" s="4" t="n">
        <v>160</v>
      </c>
      <c r="D95" s="4" t="s">
        <v>24</v>
      </c>
      <c r="E95" s="4" t="s">
        <v>106</v>
      </c>
      <c r="F95" s="4" t="s">
        <v>29</v>
      </c>
      <c r="G95" s="4" t="s">
        <v>30</v>
      </c>
      <c r="H95" s="11" t="n">
        <f aca="false">SUMIFS(Rótulos!$G$5:$G$212,Rótulos!$A$5:$A$212,$A95,Rótulos!$B$5:$B$212,$B95,Rótulos!$C$5:$C$212,$C95,Rótulos!$H$5:$H$212,$D95,Rótulos!$I$5:$I$212,"=",Rótulos!$F$5:$F$212,"B2C")</f>
        <v>0</v>
      </c>
      <c r="I95" s="11" t="n">
        <f aca="false">SUMIFS(Rótulos!$G$5:$G$212,Rótulos!$A$5:$A$212,$A95,Rótulos!$B$5:$B$212,$B95,Rótulos!$C$5:$C$212,$C95,Rótulos!$H$5:$H$212,$D95,Rótulos!$I$5:$I$212,"=",Rótulos!$F$5:$F$212,"B2B")</f>
        <v>23</v>
      </c>
      <c r="J95" s="12" t="n">
        <f aca="false">H95+I95</f>
        <v>23</v>
      </c>
    </row>
    <row r="96" customFormat="false" ht="15" hidden="false" customHeight="false" outlineLevel="0" collapsed="false">
      <c r="A96" s="4" t="s">
        <v>58</v>
      </c>
      <c r="B96" s="4" t="s">
        <v>29</v>
      </c>
      <c r="C96" s="4" t="n">
        <v>400</v>
      </c>
      <c r="D96" s="4" t="s">
        <v>24</v>
      </c>
      <c r="E96" s="4" t="s">
        <v>31</v>
      </c>
      <c r="F96" s="4" t="s">
        <v>29</v>
      </c>
      <c r="G96" s="4" t="s">
        <v>30</v>
      </c>
      <c r="H96" s="11" t="n">
        <f aca="false">SUMIFS(Rótulos!$G$5:$G$212,Rótulos!$A$5:$A$212,$A96,Rótulos!$B$5:$B$212,$B96,Rótulos!$C$5:$C$212,$C96,Rótulos!$H$5:$H$212,$D96,Rótulos!$I$5:$I$212,$E96,Rótulos!$F$5:$F$212,"B2C")</f>
        <v>0</v>
      </c>
      <c r="I96" s="11" t="n">
        <f aca="false">SUMIFS(Rótulos!$G$5:$G$212,Rótulos!$A$5:$A$212,$A96,Rótulos!$B$5:$B$212,$B96,Rótulos!$C$5:$C$212,$C96,Rótulos!$H$5:$H$212,$D96,Rótulos!$I$5:$I$212,$E96,Rótulos!$F$5:$F$212,"B2B")</f>
        <v>57</v>
      </c>
      <c r="J96" s="12" t="n">
        <f aca="false">H96+I96</f>
        <v>57</v>
      </c>
    </row>
    <row r="97" customFormat="false" ht="15" hidden="false" customHeight="false" outlineLevel="0" collapsed="false">
      <c r="A97" s="4" t="s">
        <v>58</v>
      </c>
      <c r="B97" s="4" t="s">
        <v>33</v>
      </c>
      <c r="C97" s="4" t="n">
        <v>100</v>
      </c>
      <c r="D97" s="4" t="s">
        <v>24</v>
      </c>
      <c r="E97" s="4" t="s">
        <v>34</v>
      </c>
      <c r="F97" s="4" t="s">
        <v>33</v>
      </c>
      <c r="G97" s="4" t="s">
        <v>30</v>
      </c>
      <c r="H97" s="11" t="n">
        <f aca="false">SUMIFS(Rótulos!$G$5:$G$212,Rótulos!$A$5:$A$212,$A97,Rótulos!$B$5:$B$212,$B97,Rótulos!$C$5:$C$212,$C97,Rótulos!$H$5:$H$212,$D97,Rótulos!$I$5:$I$212,$E97,Rótulos!$F$5:$F$212,"B2C")</f>
        <v>0</v>
      </c>
      <c r="I97" s="11" t="n">
        <f aca="false">SUMIFS(Rótulos!$G$5:$G$212,Rótulos!$A$5:$A$212,$A97,Rótulos!$B$5:$B$212,$B97,Rótulos!$C$5:$C$212,$C97,Rótulos!$H$5:$H$212,$D97,Rótulos!$I$5:$I$212,$E97,Rótulos!$F$5:$F$212,"B2B")</f>
        <v>28</v>
      </c>
      <c r="J97" s="12" t="n">
        <f aca="false">H97+I97</f>
        <v>28</v>
      </c>
    </row>
    <row r="98" customFormat="false" ht="15" hidden="false" customHeight="false" outlineLevel="0" collapsed="false">
      <c r="A98" s="4" t="s">
        <v>59</v>
      </c>
      <c r="B98" s="4" t="s">
        <v>29</v>
      </c>
      <c r="C98" s="4" t="n">
        <v>400</v>
      </c>
      <c r="D98" s="4" t="s">
        <v>24</v>
      </c>
      <c r="E98" s="4" t="s">
        <v>31</v>
      </c>
      <c r="F98" s="4" t="s">
        <v>29</v>
      </c>
      <c r="G98" s="4" t="s">
        <v>30</v>
      </c>
      <c r="H98" s="11" t="n">
        <f aca="false">SUMIFS(Rótulos!$G$5:$G$212,Rótulos!$A$5:$A$212,$A98,Rótulos!$B$5:$B$212,$B98,Rótulos!$C$5:$C$212,$C98,Rótulos!$H$5:$H$212,$D98,Rótulos!$I$5:$I$212,$E98,Rótulos!$F$5:$F$212,"B2C")</f>
        <v>0</v>
      </c>
      <c r="I98" s="11" t="n">
        <f aca="false">SUMIFS(Rótulos!$G$5:$G$212,Rótulos!$A$5:$A$212,$A98,Rótulos!$B$5:$B$212,$B98,Rótulos!$C$5:$C$212,$C98,Rótulos!$H$5:$H$212,$D98,Rótulos!$I$5:$I$212,$E98,Rótulos!$F$5:$F$212,"B2B")</f>
        <v>46</v>
      </c>
      <c r="J98" s="12" t="n">
        <f aca="false">H98+I98</f>
        <v>46</v>
      </c>
    </row>
    <row r="99" customFormat="false" ht="15" hidden="false" customHeight="false" outlineLevel="0" collapsed="false">
      <c r="A99" s="4" t="s">
        <v>59</v>
      </c>
      <c r="B99" s="4" t="s">
        <v>33</v>
      </c>
      <c r="C99" s="4" t="n">
        <v>100</v>
      </c>
      <c r="D99" s="4" t="s">
        <v>24</v>
      </c>
      <c r="E99" s="4" t="s">
        <v>34</v>
      </c>
      <c r="F99" s="4" t="s">
        <v>33</v>
      </c>
      <c r="G99" s="4" t="s">
        <v>30</v>
      </c>
      <c r="H99" s="11" t="n">
        <f aca="false">SUMIFS(Rótulos!$G$5:$G$212,Rótulos!$A$5:$A$212,$A99,Rótulos!$B$5:$B$212,$B99,Rótulos!$C$5:$C$212,$C99,Rótulos!$H$5:$H$212,$D99,Rótulos!$I$5:$I$212,$E99,Rótulos!$F$5:$F$212,"B2C")</f>
        <v>0</v>
      </c>
      <c r="I99" s="11" t="n">
        <f aca="false">SUMIFS(Rótulos!$G$5:$G$212,Rótulos!$A$5:$A$212,$A99,Rótulos!$B$5:$B$212,$B99,Rótulos!$C$5:$C$212,$C99,Rótulos!$H$5:$H$212,$D99,Rótulos!$I$5:$I$212,$E99,Rótulos!$F$5:$F$212,"B2B")</f>
        <v>103</v>
      </c>
      <c r="J99" s="12" t="n">
        <f aca="false">H99+I99</f>
        <v>103</v>
      </c>
    </row>
    <row r="100" customFormat="false" ht="15" hidden="false" customHeight="false" outlineLevel="0" collapsed="false">
      <c r="A100" s="4" t="s">
        <v>60</v>
      </c>
      <c r="B100" s="4" t="s">
        <v>29</v>
      </c>
      <c r="C100" s="4" t="n">
        <v>400</v>
      </c>
      <c r="D100" s="4" t="s">
        <v>24</v>
      </c>
      <c r="E100" s="4" t="s">
        <v>31</v>
      </c>
      <c r="F100" s="4" t="s">
        <v>29</v>
      </c>
      <c r="G100" s="4" t="s">
        <v>30</v>
      </c>
      <c r="H100" s="11" t="n">
        <f aca="false">SUMIFS(Rótulos!$G$5:$G$212,Rótulos!$A$5:$A$212,$A100,Rótulos!$B$5:$B$212,$B100,Rótulos!$C$5:$C$212,$C100,Rótulos!$H$5:$H$212,$D100,Rótulos!$I$5:$I$212,$E100,Rótulos!$F$5:$F$212,"B2C")</f>
        <v>0</v>
      </c>
      <c r="I100" s="11" t="n">
        <f aca="false">SUMIFS(Rótulos!$G$5:$G$212,Rótulos!$A$5:$A$212,$A100,Rótulos!$B$5:$B$212,$B100,Rótulos!$C$5:$C$212,$C100,Rótulos!$H$5:$H$212,$D100,Rótulos!$I$5:$I$212,$E100,Rótulos!$F$5:$F$212,"B2B")</f>
        <v>68</v>
      </c>
      <c r="J100" s="12" t="n">
        <f aca="false">H100+I100</f>
        <v>68</v>
      </c>
    </row>
    <row r="101" customFormat="false" ht="15" hidden="false" customHeight="false" outlineLevel="0" collapsed="false">
      <c r="A101" s="4" t="s">
        <v>60</v>
      </c>
      <c r="B101" s="4" t="s">
        <v>29</v>
      </c>
      <c r="C101" s="4" t="n">
        <v>1000</v>
      </c>
      <c r="D101" s="4" t="s">
        <v>24</v>
      </c>
      <c r="E101" s="4" t="s">
        <v>32</v>
      </c>
      <c r="F101" s="4" t="s">
        <v>29</v>
      </c>
      <c r="G101" s="4" t="s">
        <v>30</v>
      </c>
      <c r="H101" s="11" t="n">
        <f aca="false">SUMIFS(Rótulos!$G$5:$G$212,Rótulos!$A$5:$A$212,$A101,Rótulos!$B$5:$B$212,$B101,Rótulos!$C$5:$C$212,$C101,Rótulos!$H$5:$H$212,$D101,Rótulos!$I$5:$I$212,$E101,Rótulos!$F$5:$F$212,"B2C")</f>
        <v>0</v>
      </c>
      <c r="I101" s="11" t="n">
        <f aca="false">SUMIFS(Rótulos!$G$5:$G$212,Rótulos!$A$5:$A$212,$A101,Rótulos!$B$5:$B$212,$B101,Rótulos!$C$5:$C$212,$C101,Rótulos!$H$5:$H$212,$D101,Rótulos!$I$5:$I$212,$E101,Rótulos!$F$5:$F$212,"B2B")</f>
        <v>18</v>
      </c>
      <c r="J101" s="12" t="n">
        <f aca="false">H101+I101</f>
        <v>18</v>
      </c>
    </row>
    <row r="102" customFormat="false" ht="15" hidden="false" customHeight="false" outlineLevel="0" collapsed="false">
      <c r="A102" s="4" t="s">
        <v>60</v>
      </c>
      <c r="B102" s="4" t="s">
        <v>33</v>
      </c>
      <c r="C102" s="4" t="n">
        <v>100</v>
      </c>
      <c r="D102" s="4" t="s">
        <v>24</v>
      </c>
      <c r="E102" s="4" t="s">
        <v>34</v>
      </c>
      <c r="F102" s="4" t="s">
        <v>33</v>
      </c>
      <c r="G102" s="4" t="s">
        <v>30</v>
      </c>
      <c r="H102" s="11" t="n">
        <f aca="false">SUMIFS(Rótulos!$G$5:$G$212,Rótulos!$A$5:$A$212,$A102,Rótulos!$B$5:$B$212,$B102,Rótulos!$C$5:$C$212,$C102,Rótulos!$H$5:$H$212,$D102,Rótulos!$I$5:$I$212,$E102,Rótulos!$F$5:$F$212,"B2C")</f>
        <v>0</v>
      </c>
      <c r="I102" s="11" t="n">
        <f aca="false">SUMIFS(Rótulos!$G$5:$G$212,Rótulos!$A$5:$A$212,$A102,Rótulos!$B$5:$B$212,$B102,Rótulos!$C$5:$C$212,$C102,Rótulos!$H$5:$H$212,$D102,Rótulos!$I$5:$I$212,$E102,Rótulos!$F$5:$F$212,"B2B")</f>
        <v>236</v>
      </c>
      <c r="J102" s="12" t="n">
        <f aca="false">H102+I102</f>
        <v>236</v>
      </c>
    </row>
    <row r="103" customFormat="false" ht="15" hidden="false" customHeight="false" outlineLevel="0" collapsed="false">
      <c r="A103" s="4" t="s">
        <v>60</v>
      </c>
      <c r="B103" s="4" t="s">
        <v>33</v>
      </c>
      <c r="C103" s="4" t="n">
        <v>500</v>
      </c>
      <c r="D103" s="4" t="s">
        <v>24</v>
      </c>
      <c r="E103" s="4" t="s">
        <v>31</v>
      </c>
      <c r="F103" s="4" t="s">
        <v>33</v>
      </c>
      <c r="G103" s="4" t="s">
        <v>30</v>
      </c>
      <c r="H103" s="11" t="n">
        <f aca="false">SUMIFS(Rótulos!$G$5:$G$212,Rótulos!$A$5:$A$212,$A103,Rótulos!$B$5:$B$212,$B103,Rótulos!$C$5:$C$212,$C103,Rótulos!$H$5:$H$212,$D103,Rótulos!$I$5:$I$212,$E103,Rótulos!$F$5:$F$212,"B2C")</f>
        <v>0</v>
      </c>
      <c r="I103" s="11" t="n">
        <f aca="false">SUMIFS(Rótulos!$G$5:$G$212,Rótulos!$A$5:$A$212,$A103,Rótulos!$B$5:$B$212,$B103,Rótulos!$C$5:$C$212,$C103,Rótulos!$H$5:$H$212,$D103,Rótulos!$I$5:$I$212,$E103,Rótulos!$F$5:$F$212,"B2B")</f>
        <v>2</v>
      </c>
      <c r="J103" s="12" t="n">
        <f aca="false">H103+I103</f>
        <v>2</v>
      </c>
    </row>
    <row r="104" customFormat="false" ht="15" hidden="false" customHeight="false" outlineLevel="0" collapsed="false">
      <c r="A104" s="4" t="s">
        <v>60</v>
      </c>
      <c r="B104" s="4" t="s">
        <v>33</v>
      </c>
      <c r="C104" s="4" t="n">
        <v>1000</v>
      </c>
      <c r="D104" s="4" t="s">
        <v>24</v>
      </c>
      <c r="E104" s="4" t="s">
        <v>32</v>
      </c>
      <c r="F104" s="4" t="s">
        <v>33</v>
      </c>
      <c r="G104" s="4" t="s">
        <v>30</v>
      </c>
      <c r="H104" s="11" t="n">
        <f aca="false">SUMIFS(Rótulos!$G$5:$G$212,Rótulos!$A$5:$A$212,$A104,Rótulos!$B$5:$B$212,$B104,Rótulos!$C$5:$C$212,$C104,Rótulos!$H$5:$H$212,$D104,Rótulos!$I$5:$I$212,$E104,Rótulos!$F$5:$F$212,"B2C")</f>
        <v>0</v>
      </c>
      <c r="I104" s="11" t="n">
        <f aca="false">SUMIFS(Rótulos!$G$5:$G$212,Rótulos!$A$5:$A$212,$A104,Rótulos!$B$5:$B$212,$B104,Rótulos!$C$5:$C$212,$C104,Rótulos!$H$5:$H$212,$D104,Rótulos!$I$5:$I$212,$E104,Rótulos!$F$5:$F$212,"B2B")</f>
        <v>18</v>
      </c>
      <c r="J104" s="12" t="n">
        <f aca="false">H104+I104</f>
        <v>18</v>
      </c>
    </row>
    <row r="105" customFormat="false" ht="15" hidden="false" customHeight="false" outlineLevel="0" collapsed="false">
      <c r="A105" s="4" t="s">
        <v>61</v>
      </c>
      <c r="B105" s="4" t="s">
        <v>33</v>
      </c>
      <c r="C105" s="4" t="n">
        <v>500</v>
      </c>
      <c r="D105" s="4" t="s">
        <v>24</v>
      </c>
      <c r="E105" s="4" t="s">
        <v>31</v>
      </c>
      <c r="F105" s="4" t="s">
        <v>33</v>
      </c>
      <c r="G105" s="4" t="s">
        <v>30</v>
      </c>
      <c r="H105" s="11" t="n">
        <f aca="false">SUMIFS(Rótulos!$G$5:$G$212,Rótulos!$A$5:$A$212,$A105,Rótulos!$B$5:$B$212,$B105,Rótulos!$C$5:$C$212,$C105,Rótulos!$H$5:$H$212,$D105,Rótulos!$I$5:$I$212,$E105,Rótulos!$F$5:$F$212,"B2C")</f>
        <v>0</v>
      </c>
      <c r="I105" s="11" t="n">
        <f aca="false">SUMIFS(Rótulos!$G$5:$G$212,Rótulos!$A$5:$A$212,$A105,Rótulos!$B$5:$B$212,$B105,Rótulos!$C$5:$C$212,$C105,Rótulos!$H$5:$H$212,$D105,Rótulos!$I$5:$I$212,$E105,Rótulos!$F$5:$F$212,"B2B")</f>
        <v>18</v>
      </c>
      <c r="J105" s="12" t="n">
        <f aca="false">H105+I105</f>
        <v>18</v>
      </c>
    </row>
    <row r="106" customFormat="false" ht="15" hidden="false" customHeight="false" outlineLevel="0" collapsed="false">
      <c r="A106" s="4" t="s">
        <v>62</v>
      </c>
      <c r="B106" s="4" t="s">
        <v>29</v>
      </c>
      <c r="C106" s="4" t="n">
        <v>400</v>
      </c>
      <c r="D106" s="4" t="s">
        <v>24</v>
      </c>
      <c r="E106" s="4" t="s">
        <v>31</v>
      </c>
      <c r="F106" s="4" t="s">
        <v>29</v>
      </c>
      <c r="G106" s="4" t="s">
        <v>30</v>
      </c>
      <c r="H106" s="11" t="n">
        <f aca="false">SUMIFS(Rótulos!$G$5:$G$212,Rótulos!$A$5:$A$212,$A106,Rótulos!$B$5:$B$212,$B106,Rótulos!$C$5:$C$212,$C106,Rótulos!$H$5:$H$212,$D106,Rótulos!$I$5:$I$212,$E106,Rótulos!$F$5:$F$212,"B2C")</f>
        <v>0</v>
      </c>
      <c r="I106" s="11" t="n">
        <f aca="false">SUMIFS(Rótulos!$G$5:$G$212,Rótulos!$A$5:$A$212,$A106,Rótulos!$B$5:$B$212,$B106,Rótulos!$C$5:$C$212,$C106,Rótulos!$H$5:$H$212,$D106,Rótulos!$I$5:$I$212,$E106,Rótulos!$F$5:$F$212,"B2B")</f>
        <v>6</v>
      </c>
      <c r="J106" s="12" t="n">
        <f aca="false">H106+I106</f>
        <v>6</v>
      </c>
    </row>
    <row r="107" customFormat="false" ht="15" hidden="false" customHeight="false" outlineLevel="0" collapsed="false">
      <c r="A107" s="4" t="s">
        <v>62</v>
      </c>
      <c r="B107" s="4" t="s">
        <v>29</v>
      </c>
      <c r="C107" s="4" t="n">
        <v>1000</v>
      </c>
      <c r="D107" s="4" t="s">
        <v>24</v>
      </c>
      <c r="E107" s="4" t="s">
        <v>32</v>
      </c>
      <c r="F107" s="4" t="s">
        <v>29</v>
      </c>
      <c r="G107" s="4" t="s">
        <v>30</v>
      </c>
      <c r="H107" s="11" t="n">
        <f aca="false">SUMIFS(Rótulos!$G$5:$G$212,Rótulos!$A$5:$A$212,$A107,Rótulos!$B$5:$B$212,$B107,Rótulos!$C$5:$C$212,$C107,Rótulos!$H$5:$H$212,$D107,Rótulos!$I$5:$I$212,$E107,Rótulos!$F$5:$F$212,"B2C")</f>
        <v>0</v>
      </c>
      <c r="I107" s="11" t="n">
        <f aca="false">SUMIFS(Rótulos!$G$5:$G$212,Rótulos!$A$5:$A$212,$A107,Rótulos!$B$5:$B$212,$B107,Rótulos!$C$5:$C$212,$C107,Rótulos!$H$5:$H$212,$D107,Rótulos!$I$5:$I$212,$E107,Rótulos!$F$5:$F$212,"B2B")</f>
        <v>2</v>
      </c>
      <c r="J107" s="12" t="n">
        <f aca="false">H107+I107</f>
        <v>2</v>
      </c>
    </row>
    <row r="108" customFormat="false" ht="15" hidden="false" customHeight="false" outlineLevel="0" collapsed="false">
      <c r="A108" s="4" t="s">
        <v>62</v>
      </c>
      <c r="B108" s="4" t="s">
        <v>33</v>
      </c>
      <c r="C108" s="4" t="n">
        <v>500</v>
      </c>
      <c r="D108" s="4" t="s">
        <v>24</v>
      </c>
      <c r="E108" s="4" t="s">
        <v>31</v>
      </c>
      <c r="F108" s="4" t="s">
        <v>33</v>
      </c>
      <c r="G108" s="4" t="s">
        <v>30</v>
      </c>
      <c r="H108" s="11" t="n">
        <f aca="false">SUMIFS(Rótulos!$G$5:$G$212,Rótulos!$A$5:$A$212,$A108,Rótulos!$B$5:$B$212,$B108,Rótulos!$C$5:$C$212,$C108,Rótulos!$H$5:$H$212,$D108,Rótulos!$I$5:$I$212,$E108,Rótulos!$F$5:$F$212,"B2C")</f>
        <v>0</v>
      </c>
      <c r="I108" s="11" t="n">
        <f aca="false">SUMIFS(Rótulos!$G$5:$G$212,Rótulos!$A$5:$A$212,$A108,Rótulos!$B$5:$B$212,$B108,Rótulos!$C$5:$C$212,$C108,Rótulos!$H$5:$H$212,$D108,Rótulos!$I$5:$I$212,$E108,Rótulos!$F$5:$F$212,"B2B")</f>
        <v>23</v>
      </c>
      <c r="J108" s="12" t="n">
        <f aca="false">H108+I108</f>
        <v>23</v>
      </c>
    </row>
    <row r="109" customFormat="false" ht="15" hidden="false" customHeight="false" outlineLevel="0" collapsed="false">
      <c r="A109" s="4" t="s">
        <v>63</v>
      </c>
      <c r="B109" s="4" t="s">
        <v>33</v>
      </c>
      <c r="C109" s="4" t="n">
        <v>100</v>
      </c>
      <c r="D109" s="4" t="s">
        <v>24</v>
      </c>
      <c r="E109" s="4" t="s">
        <v>34</v>
      </c>
      <c r="F109" s="4" t="s">
        <v>33</v>
      </c>
      <c r="G109" s="4" t="s">
        <v>30</v>
      </c>
      <c r="H109" s="11" t="n">
        <f aca="false">SUMIFS(Rótulos!$G$5:$G$212,Rótulos!$A$5:$A$212,$A109,Rótulos!$B$5:$B$212,$B109,Rótulos!$C$5:$C$212,$C109,Rótulos!$H$5:$H$212,$D109,Rótulos!$I$5:$I$212,$E109,Rótulos!$F$5:$F$212,"B2C")</f>
        <v>0</v>
      </c>
      <c r="I109" s="11" t="n">
        <f aca="false">SUMIFS(Rótulos!$G$5:$G$212,Rótulos!$A$5:$A$212,$A109,Rótulos!$B$5:$B$212,$B109,Rótulos!$C$5:$C$212,$C109,Rótulos!$H$5:$H$212,$D109,Rótulos!$I$5:$I$212,$E109,Rótulos!$F$5:$F$212,"B2B")</f>
        <v>27</v>
      </c>
      <c r="J109" s="12" t="n">
        <f aca="false">H109+I109</f>
        <v>27</v>
      </c>
    </row>
    <row r="110" customFormat="false" ht="15" hidden="false" customHeight="false" outlineLevel="0" collapsed="false">
      <c r="A110" s="4" t="s">
        <v>63</v>
      </c>
      <c r="B110" s="4" t="s">
        <v>33</v>
      </c>
      <c r="C110" s="4" t="n">
        <v>500</v>
      </c>
      <c r="D110" s="4" t="s">
        <v>24</v>
      </c>
      <c r="E110" s="4" t="s">
        <v>31</v>
      </c>
      <c r="F110" s="4" t="s">
        <v>33</v>
      </c>
      <c r="G110" s="4" t="s">
        <v>30</v>
      </c>
      <c r="H110" s="11" t="n">
        <f aca="false">SUMIFS(Rótulos!$G$5:$G$212,Rótulos!$A$5:$A$212,$A110,Rótulos!$B$5:$B$212,$B110,Rótulos!$C$5:$C$212,$C110,Rótulos!$H$5:$H$212,$D110,Rótulos!$I$5:$I$212,$E110,Rótulos!$F$5:$F$212,"B2C")</f>
        <v>0</v>
      </c>
      <c r="I110" s="11" t="n">
        <f aca="false">SUMIFS(Rótulos!$G$5:$G$212,Rótulos!$A$5:$A$212,$A110,Rótulos!$B$5:$B$212,$B110,Rótulos!$C$5:$C$212,$C110,Rótulos!$H$5:$H$212,$D110,Rótulos!$I$5:$I$212,$E110,Rótulos!$F$5:$F$212,"B2B")</f>
        <v>379</v>
      </c>
      <c r="J110" s="12" t="n">
        <f aca="false">H110+I110</f>
        <v>379</v>
      </c>
    </row>
    <row r="111" customFormat="false" ht="15" hidden="false" customHeight="false" outlineLevel="0" collapsed="false">
      <c r="A111" s="4" t="s">
        <v>64</v>
      </c>
      <c r="B111" s="4" t="s">
        <v>29</v>
      </c>
      <c r="C111" s="4" t="n">
        <v>400</v>
      </c>
      <c r="D111" s="4" t="s">
        <v>24</v>
      </c>
      <c r="E111" s="4" t="s">
        <v>31</v>
      </c>
      <c r="F111" s="4" t="s">
        <v>29</v>
      </c>
      <c r="G111" s="4" t="s">
        <v>30</v>
      </c>
      <c r="H111" s="11" t="n">
        <f aca="false">SUMIFS(Rótulos!$G$5:$G$212,Rótulos!$A$5:$A$212,$A111,Rótulos!$B$5:$B$212,$B111,Rótulos!$C$5:$C$212,$C111,Rótulos!$H$5:$H$212,$D111,Rótulos!$I$5:$I$212,$E111,Rótulos!$F$5:$F$212,"B2C")</f>
        <v>0</v>
      </c>
      <c r="I111" s="11" t="n">
        <f aca="false">SUMIFS(Rótulos!$G$5:$G$212,Rótulos!$A$5:$A$212,$A111,Rótulos!$B$5:$B$212,$B111,Rótulos!$C$5:$C$212,$C111,Rótulos!$H$5:$H$212,$D111,Rótulos!$I$5:$I$212,$E111,Rótulos!$F$5:$F$212,"B2B")</f>
        <v>6</v>
      </c>
      <c r="J111" s="12" t="n">
        <f aca="false">H111+I111</f>
        <v>6</v>
      </c>
    </row>
    <row r="112" customFormat="false" ht="15" hidden="false" customHeight="false" outlineLevel="0" collapsed="false">
      <c r="A112" s="4" t="s">
        <v>64</v>
      </c>
      <c r="B112" s="4" t="s">
        <v>33</v>
      </c>
      <c r="C112" s="4" t="n">
        <v>100</v>
      </c>
      <c r="D112" s="4" t="s">
        <v>24</v>
      </c>
      <c r="E112" s="4" t="s">
        <v>34</v>
      </c>
      <c r="F112" s="4" t="s">
        <v>33</v>
      </c>
      <c r="G112" s="4" t="s">
        <v>30</v>
      </c>
      <c r="H112" s="11" t="n">
        <f aca="false">SUMIFS(Rótulos!$G$5:$G$212,Rótulos!$A$5:$A$212,$A112,Rótulos!$B$5:$B$212,$B112,Rótulos!$C$5:$C$212,$C112,Rótulos!$H$5:$H$212,$D112,Rótulos!$I$5:$I$212,$E112,Rótulos!$F$5:$F$212,"B2C")</f>
        <v>0</v>
      </c>
      <c r="I112" s="11" t="n">
        <f aca="false">SUMIFS(Rótulos!$G$5:$G$212,Rótulos!$A$5:$A$212,$A112,Rótulos!$B$5:$B$212,$B112,Rótulos!$C$5:$C$212,$C112,Rótulos!$H$5:$H$212,$D112,Rótulos!$I$5:$I$212,$E112,Rótulos!$F$5:$F$212,"B2B")</f>
        <v>7</v>
      </c>
      <c r="J112" s="12" t="n">
        <f aca="false">H112+I112</f>
        <v>7</v>
      </c>
    </row>
    <row r="113" customFormat="false" ht="15" hidden="false" customHeight="false" outlineLevel="0" collapsed="false">
      <c r="A113" s="4" t="s">
        <v>64</v>
      </c>
      <c r="B113" s="4" t="s">
        <v>33</v>
      </c>
      <c r="C113" s="4" t="n">
        <v>500</v>
      </c>
      <c r="D113" s="4" t="s">
        <v>24</v>
      </c>
      <c r="E113" s="4" t="s">
        <v>31</v>
      </c>
      <c r="F113" s="4" t="s">
        <v>33</v>
      </c>
      <c r="G113" s="4" t="s">
        <v>30</v>
      </c>
      <c r="H113" s="11" t="n">
        <f aca="false">SUMIFS(Rótulos!$G$5:$G$212,Rótulos!$A$5:$A$212,$A113,Rótulos!$B$5:$B$212,$B113,Rótulos!$C$5:$C$212,$C113,Rótulos!$H$5:$H$212,$D113,Rótulos!$I$5:$I$212,$E113,Rótulos!$F$5:$F$212,"B2C")</f>
        <v>0</v>
      </c>
      <c r="I113" s="11" t="n">
        <f aca="false">SUMIFS(Rótulos!$G$5:$G$212,Rótulos!$A$5:$A$212,$A113,Rótulos!$B$5:$B$212,$B113,Rótulos!$C$5:$C$212,$C113,Rótulos!$H$5:$H$212,$D113,Rótulos!$I$5:$I$212,$E113,Rótulos!$F$5:$F$212,"B2B")</f>
        <v>11</v>
      </c>
      <c r="J113" s="12" t="n">
        <f aca="false">H113+I113</f>
        <v>11</v>
      </c>
    </row>
    <row r="114" customFormat="false" ht="15" hidden="false" customHeight="false" outlineLevel="0" collapsed="false">
      <c r="A114" s="4" t="s">
        <v>64</v>
      </c>
      <c r="B114" s="4" t="s">
        <v>33</v>
      </c>
      <c r="C114" s="4" t="n">
        <v>1000</v>
      </c>
      <c r="D114" s="4" t="s">
        <v>24</v>
      </c>
      <c r="E114" s="4" t="s">
        <v>32</v>
      </c>
      <c r="F114" s="4" t="s">
        <v>33</v>
      </c>
      <c r="G114" s="4" t="s">
        <v>30</v>
      </c>
      <c r="H114" s="11" t="n">
        <f aca="false">SUMIFS(Rótulos!$G$5:$G$212,Rótulos!$A$5:$A$212,$A114,Rótulos!$B$5:$B$212,$B114,Rótulos!$C$5:$C$212,$C114,Rótulos!$H$5:$H$212,$D114,Rótulos!$I$5:$I$212,$E114,Rótulos!$F$5:$F$212,"B2C")</f>
        <v>0</v>
      </c>
      <c r="I114" s="11" t="n">
        <f aca="false">SUMIFS(Rótulos!$G$5:$G$212,Rótulos!$A$5:$A$212,$A114,Rótulos!$B$5:$B$212,$B114,Rótulos!$C$5:$C$212,$C114,Rótulos!$H$5:$H$212,$D114,Rótulos!$I$5:$I$212,$E114,Rótulos!$F$5:$F$212,"B2B")</f>
        <v>7</v>
      </c>
      <c r="J114" s="12" t="n">
        <f aca="false">H114+I114</f>
        <v>7</v>
      </c>
    </row>
    <row r="115" customFormat="false" ht="15" hidden="false" customHeight="false" outlineLevel="0" collapsed="false">
      <c r="A115" s="4" t="s">
        <v>65</v>
      </c>
      <c r="B115" s="4" t="s">
        <v>29</v>
      </c>
      <c r="C115" s="4" t="n">
        <v>1000</v>
      </c>
      <c r="D115" s="4" t="s">
        <v>24</v>
      </c>
      <c r="E115" s="4" t="s">
        <v>32</v>
      </c>
      <c r="F115" s="4" t="s">
        <v>29</v>
      </c>
      <c r="G115" s="4" t="s">
        <v>30</v>
      </c>
      <c r="H115" s="11" t="n">
        <f aca="false">SUMIFS(Rótulos!$G$5:$G$212,Rótulos!$A$5:$A$212,$A115,Rótulos!$B$5:$B$212,$B115,Rótulos!$C$5:$C$212,$C115,Rótulos!$H$5:$H$212,$D115,Rótulos!$I$5:$I$212,$E115,Rótulos!$F$5:$F$212,"B2C")</f>
        <v>0</v>
      </c>
      <c r="I115" s="11" t="n">
        <f aca="false">SUMIFS(Rótulos!$G$5:$G$212,Rótulos!$A$5:$A$212,$A115,Rótulos!$B$5:$B$212,$B115,Rótulos!$C$5:$C$212,$C115,Rótulos!$H$5:$H$212,$D115,Rótulos!$I$5:$I$212,$E115,Rótulos!$F$5:$F$212,"B2B")</f>
        <v>9</v>
      </c>
      <c r="J115" s="12" t="n">
        <f aca="false">H115+I115</f>
        <v>9</v>
      </c>
    </row>
    <row r="116" customFormat="false" ht="15" hidden="false" customHeight="false" outlineLevel="0" collapsed="false">
      <c r="A116" s="4" t="s">
        <v>65</v>
      </c>
      <c r="B116" s="4" t="s">
        <v>33</v>
      </c>
      <c r="C116" s="4" t="n">
        <v>500</v>
      </c>
      <c r="D116" s="4" t="s">
        <v>24</v>
      </c>
      <c r="E116" s="4" t="s">
        <v>31</v>
      </c>
      <c r="F116" s="4" t="s">
        <v>33</v>
      </c>
      <c r="G116" s="4" t="s">
        <v>30</v>
      </c>
      <c r="H116" s="11" t="n">
        <f aca="false">SUMIFS(Rótulos!$G$5:$G$212,Rótulos!$A$5:$A$212,$A116,Rótulos!$B$5:$B$212,$B116,Rótulos!$C$5:$C$212,$C116,Rótulos!$H$5:$H$212,$D116,Rótulos!$I$5:$I$212,$E116,Rótulos!$F$5:$F$212,"B2C")</f>
        <v>0</v>
      </c>
      <c r="I116" s="11" t="n">
        <f aca="false">SUMIFS(Rótulos!$G$5:$G$212,Rótulos!$A$5:$A$212,$A116,Rótulos!$B$5:$B$212,$B116,Rótulos!$C$5:$C$212,$C116,Rótulos!$H$5:$H$212,$D116,Rótulos!$I$5:$I$212,$E116,Rótulos!$F$5:$F$212,"B2B")</f>
        <v>1</v>
      </c>
      <c r="J116" s="12" t="n">
        <f aca="false">H116+I116</f>
        <v>1</v>
      </c>
    </row>
    <row r="117" customFormat="false" ht="15" hidden="false" customHeight="false" outlineLevel="0" collapsed="false">
      <c r="A117" s="4" t="s">
        <v>66</v>
      </c>
      <c r="B117" s="4" t="s">
        <v>29</v>
      </c>
      <c r="C117" s="4" t="n">
        <v>1000</v>
      </c>
      <c r="D117" s="4" t="s">
        <v>24</v>
      </c>
      <c r="E117" s="4" t="s">
        <v>32</v>
      </c>
      <c r="F117" s="4" t="s">
        <v>29</v>
      </c>
      <c r="G117" s="4" t="s">
        <v>30</v>
      </c>
      <c r="H117" s="11" t="n">
        <f aca="false">SUMIFS(Rótulos!$G$5:$G$212,Rótulos!$A$5:$A$212,$A117,Rótulos!$B$5:$B$212,$B117,Rótulos!$C$5:$C$212,$C117,Rótulos!$H$5:$H$212,$D117,Rótulos!$I$5:$I$212,$E117,Rótulos!$F$5:$F$212,"B2C")</f>
        <v>0</v>
      </c>
      <c r="I117" s="11" t="n">
        <f aca="false">SUMIFS(Rótulos!$G$5:$G$212,Rótulos!$A$5:$A$212,$A117,Rótulos!$B$5:$B$212,$B117,Rótulos!$C$5:$C$212,$C117,Rótulos!$H$5:$H$212,$D117,Rótulos!$I$5:$I$212,$E117,Rótulos!$F$5:$F$212,"B2B")</f>
        <v>22</v>
      </c>
      <c r="J117" s="12" t="n">
        <f aca="false">H117+I117</f>
        <v>22</v>
      </c>
    </row>
    <row r="118" customFormat="false" ht="15" hidden="false" customHeight="false" outlineLevel="0" collapsed="false">
      <c r="A118" s="4" t="s">
        <v>66</v>
      </c>
      <c r="B118" s="4" t="s">
        <v>33</v>
      </c>
      <c r="C118" s="4" t="n">
        <v>500</v>
      </c>
      <c r="D118" s="4" t="s">
        <v>24</v>
      </c>
      <c r="E118" s="4" t="s">
        <v>31</v>
      </c>
      <c r="F118" s="4" t="s">
        <v>33</v>
      </c>
      <c r="G118" s="4" t="s">
        <v>30</v>
      </c>
      <c r="H118" s="11" t="n">
        <f aca="false">SUMIFS(Rótulos!$G$5:$G$212,Rótulos!$A$5:$A$212,$A118,Rótulos!$B$5:$B$212,$B118,Rótulos!$C$5:$C$212,$C118,Rótulos!$H$5:$H$212,$D118,Rótulos!$I$5:$I$212,$E118,Rótulos!$F$5:$F$212,"B2C")</f>
        <v>0</v>
      </c>
      <c r="I118" s="11" t="n">
        <f aca="false">SUMIFS(Rótulos!$G$5:$G$212,Rótulos!$A$5:$A$212,$A118,Rótulos!$B$5:$B$212,$B118,Rótulos!$C$5:$C$212,$C118,Rótulos!$H$5:$H$212,$D118,Rótulos!$I$5:$I$212,$E118,Rótulos!$F$5:$F$212,"B2B")</f>
        <v>6</v>
      </c>
      <c r="J118" s="12" t="n">
        <f aca="false">H118+I118</f>
        <v>6</v>
      </c>
    </row>
    <row r="119" customFormat="false" ht="15" hidden="false" customHeight="false" outlineLevel="0" collapsed="false">
      <c r="A119" s="4" t="s">
        <v>67</v>
      </c>
      <c r="B119" s="4" t="s">
        <v>29</v>
      </c>
      <c r="C119" s="4" t="n">
        <v>400</v>
      </c>
      <c r="D119" s="4" t="s">
        <v>24</v>
      </c>
      <c r="E119" s="4" t="s">
        <v>31</v>
      </c>
      <c r="F119" s="4" t="s">
        <v>29</v>
      </c>
      <c r="G119" s="4" t="s">
        <v>30</v>
      </c>
      <c r="H119" s="11" t="n">
        <f aca="false">SUMIFS(Rótulos!$G$5:$G$212,Rótulos!$A$5:$A$212,$A119,Rótulos!$B$5:$B$212,$B119,Rótulos!$C$5:$C$212,$C119,Rótulos!$H$5:$H$212,$D119,Rótulos!$I$5:$I$212,$E119,Rótulos!$F$5:$F$212,"B2C")</f>
        <v>0</v>
      </c>
      <c r="I119" s="11" t="n">
        <f aca="false">SUMIFS(Rótulos!$G$5:$G$212,Rótulos!$A$5:$A$212,$A119,Rótulos!$B$5:$B$212,$B119,Rótulos!$C$5:$C$212,$C119,Rótulos!$H$5:$H$212,$D119,Rótulos!$I$5:$I$212,$E119,Rótulos!$F$5:$F$212,"B2B")</f>
        <v>5</v>
      </c>
      <c r="J119" s="12" t="n">
        <f aca="false">H119+I119</f>
        <v>5</v>
      </c>
    </row>
    <row r="120" customFormat="false" ht="15" hidden="false" customHeight="false" outlineLevel="0" collapsed="false">
      <c r="A120" s="4" t="s">
        <v>67</v>
      </c>
      <c r="B120" s="4" t="s">
        <v>33</v>
      </c>
      <c r="C120" s="4" t="n">
        <v>500</v>
      </c>
      <c r="D120" s="4" t="s">
        <v>24</v>
      </c>
      <c r="E120" s="4" t="s">
        <v>31</v>
      </c>
      <c r="F120" s="4" t="s">
        <v>33</v>
      </c>
      <c r="G120" s="4" t="s">
        <v>30</v>
      </c>
      <c r="H120" s="11" t="n">
        <f aca="false">SUMIFS(Rótulos!$G$5:$G$212,Rótulos!$A$5:$A$212,$A120,Rótulos!$B$5:$B$212,$B120,Rótulos!$C$5:$C$212,$C120,Rótulos!$H$5:$H$212,$D120,Rótulos!$I$5:$I$212,$E120,Rótulos!$F$5:$F$212,"B2C")</f>
        <v>0</v>
      </c>
      <c r="I120" s="11" t="n">
        <f aca="false">SUMIFS(Rótulos!$G$5:$G$212,Rótulos!$A$5:$A$212,$A120,Rótulos!$B$5:$B$212,$B120,Rótulos!$C$5:$C$212,$C120,Rótulos!$H$5:$H$212,$D120,Rótulos!$I$5:$I$212,$E120,Rótulos!$F$5:$F$212,"B2B")</f>
        <v>6</v>
      </c>
      <c r="J120" s="12" t="n">
        <f aca="false">H120+I120</f>
        <v>6</v>
      </c>
    </row>
    <row r="121" customFormat="false" ht="15" hidden="false" customHeight="false" outlineLevel="0" collapsed="false">
      <c r="A121" s="4" t="s">
        <v>68</v>
      </c>
      <c r="B121" s="4" t="s">
        <v>18</v>
      </c>
      <c r="C121" s="4" t="n">
        <v>150</v>
      </c>
      <c r="D121" s="4" t="s">
        <v>24</v>
      </c>
      <c r="E121" s="4" t="s">
        <v>25</v>
      </c>
      <c r="F121" s="4" t="s">
        <v>18</v>
      </c>
      <c r="G121" s="4" t="s">
        <v>30</v>
      </c>
      <c r="H121" s="11" t="n">
        <f aca="false">SUMIFS(Rótulos!$G$5:$G$212,Rótulos!$A$5:$A$212,$A121,Rótulos!$B$5:$B$212,$B121,Rótulos!$C$5:$C$212,$C121,Rótulos!$H$5:$H$212,$D121,Rótulos!$I$5:$I$212,$E121,Rótulos!$F$5:$F$212,"B2C")</f>
        <v>0</v>
      </c>
      <c r="I121" s="11" t="n">
        <f aca="false">SUMIFS(Rótulos!$G$5:$G$212,Rótulos!$A$5:$A$212,$A121,Rótulos!$B$5:$B$212,$B121,Rótulos!$C$5:$C$212,$C121,Rótulos!$H$5:$H$212,$D121,Rótulos!$I$5:$I$212,$E121,Rótulos!$F$5:$F$212,"B2B")</f>
        <v>9</v>
      </c>
      <c r="J121" s="12" t="n">
        <f aca="false">H121+I121</f>
        <v>9</v>
      </c>
    </row>
    <row r="122" customFormat="false" ht="15" hidden="false" customHeight="false" outlineLevel="0" collapsed="false">
      <c r="A122" s="4" t="s">
        <v>69</v>
      </c>
      <c r="B122" s="4" t="s">
        <v>33</v>
      </c>
      <c r="C122" s="4" t="n">
        <v>100</v>
      </c>
      <c r="D122" s="4" t="s">
        <v>24</v>
      </c>
      <c r="E122" s="4" t="s">
        <v>34</v>
      </c>
      <c r="F122" s="4" t="s">
        <v>33</v>
      </c>
      <c r="G122" s="4" t="s">
        <v>30</v>
      </c>
      <c r="H122" s="11" t="n">
        <f aca="false">SUMIFS(Rótulos!$G$5:$G$212,Rótulos!$A$5:$A$212,$A122,Rótulos!$B$5:$B$212,$B122,Rótulos!$C$5:$C$212,$C122,Rótulos!$H$5:$H$212,$D122,Rótulos!$I$5:$I$212,$E122,Rótulos!$F$5:$F$212,"B2C")</f>
        <v>0</v>
      </c>
      <c r="I122" s="11" t="n">
        <f aca="false">SUMIFS(Rótulos!$G$5:$G$212,Rótulos!$A$5:$A$212,$A122,Rótulos!$B$5:$B$212,$B122,Rótulos!$C$5:$C$212,$C122,Rótulos!$H$5:$H$212,$D122,Rótulos!$I$5:$I$212,$E122,Rótulos!$F$5:$F$212,"B2B")</f>
        <v>2</v>
      </c>
      <c r="J122" s="12" t="n">
        <f aca="false">H122+I122</f>
        <v>2</v>
      </c>
    </row>
    <row r="123" customFormat="false" ht="15" hidden="false" customHeight="false" outlineLevel="0" collapsed="false">
      <c r="A123" s="4" t="s">
        <v>69</v>
      </c>
      <c r="B123" s="4" t="s">
        <v>18</v>
      </c>
      <c r="C123" s="4" t="n">
        <v>150</v>
      </c>
      <c r="D123" s="4" t="s">
        <v>24</v>
      </c>
      <c r="E123" s="4" t="s">
        <v>25</v>
      </c>
      <c r="F123" s="4" t="s">
        <v>18</v>
      </c>
      <c r="G123" s="4" t="s">
        <v>30</v>
      </c>
      <c r="H123" s="11" t="n">
        <f aca="false">SUMIFS(Rótulos!$G$5:$G$212,Rótulos!$A$5:$A$212,$A123,Rótulos!$B$5:$B$212,$B123,Rótulos!$C$5:$C$212,$C123,Rótulos!$H$5:$H$212,$D123,Rótulos!$I$5:$I$212,$E123,Rótulos!$F$5:$F$212,"B2C")</f>
        <v>0</v>
      </c>
      <c r="I123" s="11" t="n">
        <f aca="false">SUMIFS(Rótulos!$G$5:$G$212,Rótulos!$A$5:$A$212,$A123,Rótulos!$B$5:$B$212,$B123,Rótulos!$C$5:$C$212,$C123,Rótulos!$H$5:$H$212,$D123,Rótulos!$I$5:$I$212,$E123,Rótulos!$F$5:$F$212,"B2B")</f>
        <v>8</v>
      </c>
      <c r="J123" s="12" t="n">
        <f aca="false">H123+I123</f>
        <v>8</v>
      </c>
    </row>
    <row r="124" customFormat="false" ht="15" hidden="false" customHeight="false" outlineLevel="0" collapsed="false">
      <c r="A124" s="4" t="s">
        <v>69</v>
      </c>
      <c r="B124" s="4" t="s">
        <v>12</v>
      </c>
      <c r="C124" s="4" t="n">
        <v>15</v>
      </c>
      <c r="D124" s="4" t="s">
        <v>16</v>
      </c>
      <c r="E124" s="4" t="s">
        <v>17</v>
      </c>
      <c r="F124" s="4" t="s">
        <v>14</v>
      </c>
      <c r="G124" s="4" t="s">
        <v>15</v>
      </c>
      <c r="H124" s="11" t="n">
        <f aca="false">SUMIFS(Rótulos!$G$5:$G$212,Rótulos!$A$5:$A$212,$A124,Rótulos!$B$5:$B$212,$B124,Rótulos!$C$5:$C$212,$C124,Rótulos!$H$5:$H$212,$D124,Rótulos!$I$5:$I$212,$E124,Rótulos!$F$5:$F$212,"B2C")</f>
        <v>100</v>
      </c>
      <c r="I124" s="11" t="n">
        <f aca="false">SUMIFS(Rótulos!$G$5:$G$212,Rótulos!$A$5:$A$212,$A124,Rótulos!$B$5:$B$212,$B124,Rótulos!$C$5:$C$212,$C124,Rótulos!$H$5:$H$212,$D124,Rótulos!$I$5:$I$212,$E124,Rótulos!$F$5:$F$212,"B2B")</f>
        <v>0</v>
      </c>
      <c r="J124" s="12" t="n">
        <f aca="false">H124+I124</f>
        <v>100</v>
      </c>
    </row>
    <row r="125" customFormat="false" ht="15" hidden="false" customHeight="false" outlineLevel="0" collapsed="false">
      <c r="A125" s="4" t="s">
        <v>69</v>
      </c>
      <c r="B125" s="4" t="s">
        <v>12</v>
      </c>
      <c r="C125" s="4" t="n">
        <v>500</v>
      </c>
      <c r="D125" s="4" t="s">
        <v>24</v>
      </c>
      <c r="E125" s="4" t="s">
        <v>31</v>
      </c>
      <c r="F125" s="4" t="s">
        <v>35</v>
      </c>
      <c r="G125" s="4" t="s">
        <v>15</v>
      </c>
      <c r="H125" s="11" t="n">
        <f aca="false">SUMIFS(Rótulos!$G$5:$G$212,Rótulos!$A$5:$A$212,$A125,Rótulos!$B$5:$B$212,$B125,Rótulos!$C$5:$C$212,$C125,Rótulos!$H$5:$H$212,$D125,Rótulos!$I$5:$I$212,$E125,Rótulos!$F$5:$F$212,"B2C")</f>
        <v>10</v>
      </c>
      <c r="I125" s="11" t="n">
        <f aca="false">SUMIFS(Rótulos!$G$5:$G$212,Rótulos!$A$5:$A$212,$A125,Rótulos!$B$5:$B$212,$B125,Rótulos!$C$5:$C$212,$C125,Rótulos!$H$5:$H$212,$D125,Rótulos!$I$5:$I$212,$E125,Rótulos!$F$5:$F$212,"B2B")</f>
        <v>0</v>
      </c>
      <c r="J125" s="12" t="n">
        <f aca="false">H125+I125</f>
        <v>10</v>
      </c>
    </row>
    <row r="126" customFormat="false" ht="15" hidden="false" customHeight="false" outlineLevel="0" collapsed="false">
      <c r="A126" s="4" t="s">
        <v>69</v>
      </c>
      <c r="B126" s="4" t="s">
        <v>29</v>
      </c>
      <c r="C126" s="4" t="n">
        <v>15</v>
      </c>
      <c r="D126" s="4" t="s">
        <v>16</v>
      </c>
      <c r="E126" s="4" t="s">
        <v>17</v>
      </c>
      <c r="F126" s="4" t="s">
        <v>36</v>
      </c>
      <c r="G126" s="4" t="s">
        <v>15</v>
      </c>
      <c r="H126" s="11" t="n">
        <f aca="false">SUMIFS(Rótulos!$G$5:$G$212,Rótulos!$A$5:$A$212,$A126,Rótulos!$B$5:$B$212,$B126,Rótulos!$C$5:$C$212,$C126,Rótulos!$H$5:$H$212,$D126,Rótulos!$I$5:$I$212,$E126,Rótulos!$F$5:$F$212,"B2C")</f>
        <v>100</v>
      </c>
      <c r="I126" s="11" t="n">
        <f aca="false">SUMIFS(Rótulos!$G$5:$G$212,Rótulos!$A$5:$A$212,$A126,Rótulos!$B$5:$B$212,$B126,Rótulos!$C$5:$C$212,$C126,Rótulos!$H$5:$H$212,$D126,Rótulos!$I$5:$I$212,$E126,Rótulos!$F$5:$F$212,"B2B")</f>
        <v>0</v>
      </c>
      <c r="J126" s="12" t="n">
        <f aca="false">H126+I126</f>
        <v>100</v>
      </c>
    </row>
    <row r="127" customFormat="false" ht="15" hidden="false" customHeight="false" outlineLevel="0" collapsed="false">
      <c r="A127" s="4" t="s">
        <v>69</v>
      </c>
      <c r="B127" s="4" t="s">
        <v>29</v>
      </c>
      <c r="C127" s="4" t="n">
        <v>100</v>
      </c>
      <c r="D127" s="4" t="s">
        <v>24</v>
      </c>
      <c r="E127" s="4" t="s">
        <v>34</v>
      </c>
      <c r="F127" s="4" t="s">
        <v>36</v>
      </c>
      <c r="G127" s="4" t="s">
        <v>15</v>
      </c>
      <c r="H127" s="11" t="n">
        <f aca="false">SUMIFS(Rótulos!$G$5:$G$212,Rótulos!$A$5:$A$212,$A127,Rótulos!$B$5:$B$212,$B127,Rótulos!$C$5:$C$212,$C127,Rótulos!$H$5:$H$212,$D127,Rótulos!$I$5:$I$212,$E127,Rótulos!$F$5:$F$212,"B2C")</f>
        <v>30</v>
      </c>
      <c r="I127" s="11" t="n">
        <f aca="false">SUMIFS(Rótulos!$G$5:$G$212,Rótulos!$A$5:$A$212,$A127,Rótulos!$B$5:$B$212,$B127,Rótulos!$C$5:$C$212,$C127,Rótulos!$H$5:$H$212,$D127,Rótulos!$I$5:$I$212,$E127,Rótulos!$F$5:$F$212,"B2B")</f>
        <v>0</v>
      </c>
      <c r="J127" s="12" t="n">
        <f aca="false">H127+I127</f>
        <v>30</v>
      </c>
    </row>
    <row r="128" customFormat="false" ht="15" hidden="false" customHeight="false" outlineLevel="0" collapsed="false">
      <c r="A128" s="4" t="s">
        <v>69</v>
      </c>
      <c r="B128" s="4" t="s">
        <v>18</v>
      </c>
      <c r="C128" s="4" t="n">
        <v>250</v>
      </c>
      <c r="D128" s="4" t="s">
        <v>16</v>
      </c>
      <c r="E128" s="4" t="s">
        <v>21</v>
      </c>
      <c r="F128" s="4" t="s">
        <v>117</v>
      </c>
      <c r="G128" s="4" t="s">
        <v>15</v>
      </c>
      <c r="H128" s="11" t="n">
        <f aca="false">SUMIFS(Rótulos!$G$5:$G$212,Rótulos!$A$5:$A$212,$A128,Rótulos!$B$5:$B$212,$B128,Rótulos!$C$5:$C$212,$C128,Rótulos!$H$5:$H$212,$D128,Rótulos!$I$5:$I$212,$E128,Rótulos!$F$5:$F$212,"B2C")</f>
        <v>16</v>
      </c>
      <c r="I128" s="11" t="n">
        <f aca="false">SUMIFS(Rótulos!$G$5:$G$212,Rótulos!$A$5:$A$212,$A128,Rótulos!$B$5:$B$212,$B128,Rótulos!$C$5:$C$212,$C128,Rótulos!$H$5:$H$212,$D128,Rótulos!$I$5:$I$212,$E128,Rótulos!$F$5:$F$212,"B2B")</f>
        <v>0</v>
      </c>
      <c r="J128" s="12" t="n">
        <f aca="false">H128+I128</f>
        <v>16</v>
      </c>
    </row>
    <row r="129" customFormat="false" ht="15" hidden="false" customHeight="false" outlineLevel="0" collapsed="false">
      <c r="A129" s="4" t="s">
        <v>69</v>
      </c>
      <c r="B129" s="4" t="s">
        <v>18</v>
      </c>
      <c r="C129" s="4" t="n">
        <v>250</v>
      </c>
      <c r="D129" s="4" t="s">
        <v>24</v>
      </c>
      <c r="E129" s="4" t="s">
        <v>25</v>
      </c>
      <c r="F129" s="4" t="s">
        <v>23</v>
      </c>
      <c r="G129" s="4" t="s">
        <v>15</v>
      </c>
      <c r="H129" s="11" t="n">
        <f aca="false">SUMIFS(Rótulos!$G$5:$G$212,Rótulos!$A$5:$A$212,$A129,Rótulos!$B$5:$B$212,$B129,Rótulos!$C$5:$C$212,$C129,Rótulos!$H$5:$H$212,$D129,Rótulos!$I$5:$I$212,$E129,Rótulos!$F$5:$F$212,"B2C")</f>
        <v>2</v>
      </c>
      <c r="I129" s="11" t="n">
        <f aca="false">SUMIFS(Rótulos!$G$5:$G$212,Rótulos!$A$5:$A$212,$A129,Rótulos!$B$5:$B$212,$B129,Rótulos!$C$5:$C$212,$C129,Rótulos!$H$5:$H$212,$D129,Rótulos!$I$5:$I$212,$E129,Rótulos!$F$5:$F$212,"B2B")</f>
        <v>0</v>
      </c>
      <c r="J129" s="12" t="n">
        <f aca="false">H129+I129</f>
        <v>2</v>
      </c>
    </row>
    <row r="130" customFormat="false" ht="15" hidden="false" customHeight="false" outlineLevel="0" collapsed="false">
      <c r="A130" s="4" t="s">
        <v>70</v>
      </c>
      <c r="B130" s="4" t="s">
        <v>12</v>
      </c>
      <c r="C130" s="4" t="n">
        <v>15</v>
      </c>
      <c r="D130" s="4" t="s">
        <v>16</v>
      </c>
      <c r="E130" s="4" t="s">
        <v>17</v>
      </c>
      <c r="F130" s="4" t="s">
        <v>14</v>
      </c>
      <c r="G130" s="4" t="s">
        <v>15</v>
      </c>
      <c r="H130" s="11" t="n">
        <f aca="false">SUMIFS(Rótulos!$G$5:$G$212,Rótulos!$A$5:$A$212,$A130,Rótulos!$B$5:$B$212,$B130,Rótulos!$C$5:$C$212,$C130,Rótulos!$H$5:$H$212,$D130,Rótulos!$I$5:$I$212,$E130,Rótulos!$F$5:$F$212,"B2C")</f>
        <v>200</v>
      </c>
      <c r="I130" s="11" t="n">
        <f aca="false">SUMIFS(Rótulos!$G$5:$G$212,Rótulos!$A$5:$A$212,$A130,Rótulos!$B$5:$B$212,$B130,Rótulos!$C$5:$C$212,$C130,Rótulos!$H$5:$H$212,$D130,Rótulos!$I$5:$I$212,$E130,Rótulos!$F$5:$F$212,"B2B")</f>
        <v>0</v>
      </c>
      <c r="J130" s="12" t="n">
        <f aca="false">H130+I130</f>
        <v>200</v>
      </c>
    </row>
    <row r="131" customFormat="false" ht="15" hidden="false" customHeight="false" outlineLevel="0" collapsed="false">
      <c r="A131" s="4" t="s">
        <v>70</v>
      </c>
      <c r="B131" s="4" t="s">
        <v>18</v>
      </c>
      <c r="C131" s="4" t="n">
        <v>250</v>
      </c>
      <c r="D131" s="4" t="s">
        <v>16</v>
      </c>
      <c r="E131" s="4" t="s">
        <v>21</v>
      </c>
      <c r="F131" s="4" t="s">
        <v>117</v>
      </c>
      <c r="G131" s="4" t="s">
        <v>15</v>
      </c>
      <c r="H131" s="11" t="n">
        <f aca="false">SUMIFS(Rótulos!$G$5:$G$212,Rótulos!$A$5:$A$212,$A131,Rótulos!$B$5:$B$212,$B131,Rótulos!$C$5:$C$212,$C131,Rótulos!$H$5:$H$212,$D131,Rótulos!$I$5:$I$212,$E131,Rótulos!$F$5:$F$212,"B2C")</f>
        <v>36</v>
      </c>
      <c r="I131" s="11" t="n">
        <f aca="false">SUMIFS(Rótulos!$G$5:$G$212,Rótulos!$A$5:$A$212,$A131,Rótulos!$B$5:$B$212,$B131,Rótulos!$C$5:$C$212,$C131,Rótulos!$H$5:$H$212,$D131,Rótulos!$I$5:$I$212,$E131,Rótulos!$F$5:$F$212,"B2B")</f>
        <v>0</v>
      </c>
      <c r="J131" s="12" t="n">
        <f aca="false">H131+I131</f>
        <v>36</v>
      </c>
    </row>
    <row r="132" customFormat="false" ht="15" hidden="false" customHeight="false" outlineLevel="0" collapsed="false">
      <c r="A132" s="4" t="s">
        <v>70</v>
      </c>
      <c r="B132" s="4" t="s">
        <v>18</v>
      </c>
      <c r="C132" s="4" t="n">
        <v>250</v>
      </c>
      <c r="D132" s="4" t="s">
        <v>24</v>
      </c>
      <c r="E132" s="4" t="s">
        <v>25</v>
      </c>
      <c r="F132" s="4" t="s">
        <v>23</v>
      </c>
      <c r="G132" s="4" t="s">
        <v>15</v>
      </c>
      <c r="H132" s="11" t="n">
        <f aca="false">SUMIFS(Rótulos!$G$5:$G$212,Rótulos!$A$5:$A$212,$A132,Rótulos!$B$5:$B$212,$B132,Rótulos!$C$5:$C$212,$C132,Rótulos!$H$5:$H$212,$D132,Rótulos!$I$5:$I$212,$E132,Rótulos!$F$5:$F$212,"B2C")</f>
        <v>12</v>
      </c>
      <c r="I132" s="11" t="n">
        <f aca="false">SUMIFS(Rótulos!$G$5:$G$212,Rótulos!$A$5:$A$212,$A132,Rótulos!$B$5:$B$212,$B132,Rótulos!$C$5:$C$212,$C132,Rótulos!$H$5:$H$212,$D132,Rótulos!$I$5:$I$212,$E132,Rótulos!$F$5:$F$212,"B2B")</f>
        <v>0</v>
      </c>
      <c r="J132" s="12" t="n">
        <f aca="false">H132+I132</f>
        <v>12</v>
      </c>
    </row>
    <row r="133" customFormat="false" ht="15" hidden="false" customHeight="false" outlineLevel="0" collapsed="false">
      <c r="A133" s="4" t="s">
        <v>71</v>
      </c>
      <c r="B133" s="4" t="s">
        <v>29</v>
      </c>
      <c r="C133" s="4" t="n">
        <v>400</v>
      </c>
      <c r="D133" s="4" t="s">
        <v>24</v>
      </c>
      <c r="E133" s="4" t="s">
        <v>31</v>
      </c>
      <c r="F133" s="4" t="s">
        <v>29</v>
      </c>
      <c r="G133" s="4" t="s">
        <v>30</v>
      </c>
      <c r="H133" s="11" t="n">
        <f aca="false">SUMIFS(Rótulos!$G$5:$G$212,Rótulos!$A$5:$A$212,$A133,Rótulos!$B$5:$B$212,$B133,Rótulos!$C$5:$C$212,$C133,Rótulos!$H$5:$H$212,$D133,Rótulos!$I$5:$I$212,$E133,Rótulos!$F$5:$F$212,"B2C")</f>
        <v>0</v>
      </c>
      <c r="I133" s="11" t="n">
        <f aca="false">SUMIFS(Rótulos!$G$5:$G$212,Rótulos!$A$5:$A$212,$A133,Rótulos!$B$5:$B$212,$B133,Rótulos!$C$5:$C$212,$C133,Rótulos!$H$5:$H$212,$D133,Rótulos!$I$5:$I$212,$E133,Rótulos!$F$5:$F$212,"B2B")</f>
        <v>9</v>
      </c>
      <c r="J133" s="12" t="n">
        <f aca="false">H133+I133</f>
        <v>9</v>
      </c>
    </row>
    <row r="134" customFormat="false" ht="15" hidden="false" customHeight="false" outlineLevel="0" collapsed="false">
      <c r="A134" s="4" t="s">
        <v>72</v>
      </c>
      <c r="B134" s="4" t="s">
        <v>29</v>
      </c>
      <c r="C134" s="4" t="n">
        <v>400</v>
      </c>
      <c r="D134" s="4" t="s">
        <v>24</v>
      </c>
      <c r="E134" s="4" t="s">
        <v>31</v>
      </c>
      <c r="F134" s="4" t="s">
        <v>29</v>
      </c>
      <c r="G134" s="4" t="s">
        <v>30</v>
      </c>
      <c r="H134" s="11" t="n">
        <f aca="false">SUMIFS(Rótulos!$G$5:$G$212,Rótulos!$A$5:$A$212,$A134,Rótulos!$B$5:$B$212,$B134,Rótulos!$C$5:$C$212,$C134,Rótulos!$H$5:$H$212,$D134,Rótulos!$I$5:$I$212,$E134,Rótulos!$F$5:$F$212,"B2C")</f>
        <v>0</v>
      </c>
      <c r="I134" s="11" t="n">
        <f aca="false">SUMIFS(Rótulos!$G$5:$G$212,Rótulos!$A$5:$A$212,$A134,Rótulos!$B$5:$B$212,$B134,Rótulos!$C$5:$C$212,$C134,Rótulos!$H$5:$H$212,$D134,Rótulos!$I$5:$I$212,$E134,Rótulos!$F$5:$F$212,"B2B")</f>
        <v>26</v>
      </c>
      <c r="J134" s="12" t="n">
        <f aca="false">H134+I134</f>
        <v>26</v>
      </c>
    </row>
    <row r="135" customFormat="false" ht="15" hidden="false" customHeight="false" outlineLevel="0" collapsed="false">
      <c r="A135" s="4" t="s">
        <v>72</v>
      </c>
      <c r="B135" s="4" t="s">
        <v>33</v>
      </c>
      <c r="C135" s="4" t="n">
        <v>100</v>
      </c>
      <c r="D135" s="4" t="s">
        <v>24</v>
      </c>
      <c r="E135" s="4" t="s">
        <v>34</v>
      </c>
      <c r="F135" s="4" t="s">
        <v>33</v>
      </c>
      <c r="G135" s="4" t="s">
        <v>30</v>
      </c>
      <c r="H135" s="11" t="n">
        <f aca="false">SUMIFS(Rótulos!$G$5:$G$212,Rótulos!$A$5:$A$212,$A135,Rótulos!$B$5:$B$212,$B135,Rótulos!$C$5:$C$212,$C135,Rótulos!$H$5:$H$212,$D135,Rótulos!$I$5:$I$212,$E135,Rótulos!$F$5:$F$212,"B2C")</f>
        <v>0</v>
      </c>
      <c r="I135" s="11" t="n">
        <f aca="false">SUMIFS(Rótulos!$G$5:$G$212,Rótulos!$A$5:$A$212,$A135,Rótulos!$B$5:$B$212,$B135,Rótulos!$C$5:$C$212,$C135,Rótulos!$H$5:$H$212,$D135,Rótulos!$I$5:$I$212,$E135,Rótulos!$F$5:$F$212,"B2B")</f>
        <v>3</v>
      </c>
      <c r="J135" s="12" t="n">
        <f aca="false">H135+I135</f>
        <v>3</v>
      </c>
    </row>
    <row r="136" customFormat="false" ht="15" hidden="false" customHeight="false" outlineLevel="0" collapsed="false">
      <c r="A136" s="4" t="s">
        <v>72</v>
      </c>
      <c r="B136" s="4" t="s">
        <v>33</v>
      </c>
      <c r="C136" s="4" t="n">
        <v>500</v>
      </c>
      <c r="D136" s="4" t="s">
        <v>24</v>
      </c>
      <c r="E136" s="4" t="s">
        <v>31</v>
      </c>
      <c r="F136" s="4" t="s">
        <v>33</v>
      </c>
      <c r="G136" s="4" t="s">
        <v>30</v>
      </c>
      <c r="H136" s="11" t="n">
        <f aca="false">SUMIFS(Rótulos!$G$5:$G$212,Rótulos!$A$5:$A$212,$A136,Rótulos!$B$5:$B$212,$B136,Rótulos!$C$5:$C$212,$C136,Rótulos!$H$5:$H$212,$D136,Rótulos!$I$5:$I$212,$E136,Rótulos!$F$5:$F$212,"B2C")</f>
        <v>0</v>
      </c>
      <c r="I136" s="11" t="n">
        <f aca="false">SUMIFS(Rótulos!$G$5:$G$212,Rótulos!$A$5:$A$212,$A136,Rótulos!$B$5:$B$212,$B136,Rótulos!$C$5:$C$212,$C136,Rótulos!$H$5:$H$212,$D136,Rótulos!$I$5:$I$212,$E136,Rótulos!$F$5:$F$212,"B2B")</f>
        <v>23</v>
      </c>
      <c r="J136" s="12" t="n">
        <f aca="false">H136+I136</f>
        <v>23</v>
      </c>
    </row>
    <row r="137" customFormat="false" ht="15" hidden="false" customHeight="false" outlineLevel="0" collapsed="false">
      <c r="A137" s="4" t="s">
        <v>72</v>
      </c>
      <c r="B137" s="4" t="s">
        <v>33</v>
      </c>
      <c r="C137" s="4" t="n">
        <v>1000</v>
      </c>
      <c r="D137" s="4" t="s">
        <v>24</v>
      </c>
      <c r="E137" s="4" t="s">
        <v>32</v>
      </c>
      <c r="F137" s="4" t="s">
        <v>33</v>
      </c>
      <c r="G137" s="4" t="s">
        <v>30</v>
      </c>
      <c r="H137" s="11" t="n">
        <f aca="false">SUMIFS(Rótulos!$G$5:$G$212,Rótulos!$A$5:$A$212,$A137,Rótulos!$B$5:$B$212,$B137,Rótulos!$C$5:$C$212,$C137,Rótulos!$H$5:$H$212,$D137,Rótulos!$I$5:$I$212,$E137,Rótulos!$F$5:$F$212,"B2C")</f>
        <v>0</v>
      </c>
      <c r="I137" s="11" t="n">
        <f aca="false">SUMIFS(Rótulos!$G$5:$G$212,Rótulos!$A$5:$A$212,$A137,Rótulos!$B$5:$B$212,$B137,Rótulos!$C$5:$C$212,$C137,Rótulos!$H$5:$H$212,$D137,Rótulos!$I$5:$I$212,$E137,Rótulos!$F$5:$F$212,"B2B")</f>
        <v>3</v>
      </c>
      <c r="J137" s="12" t="n">
        <f aca="false">H137+I137</f>
        <v>3</v>
      </c>
    </row>
    <row r="138" customFormat="false" ht="15" hidden="false" customHeight="false" outlineLevel="0" collapsed="false">
      <c r="A138" s="4" t="s">
        <v>72</v>
      </c>
      <c r="B138" s="4" t="s">
        <v>18</v>
      </c>
      <c r="C138" s="4" t="n">
        <v>250</v>
      </c>
      <c r="D138" s="4" t="s">
        <v>24</v>
      </c>
      <c r="E138" s="4" t="s">
        <v>25</v>
      </c>
      <c r="F138" s="4" t="s">
        <v>18</v>
      </c>
      <c r="G138" s="4" t="s">
        <v>30</v>
      </c>
      <c r="H138" s="11" t="n">
        <f aca="false">SUMIFS(Rótulos!$G$5:$G$212,Rótulos!$A$5:$A$212,$A138,Rótulos!$B$5:$B$212,$B138,Rótulos!$C$5:$C$212,$C138,Rótulos!$H$5:$H$212,$D138,Rótulos!$I$5:$I$212,$E138,Rótulos!$F$5:$F$212,"B2C")</f>
        <v>0</v>
      </c>
      <c r="I138" s="11" t="n">
        <f aca="false">SUMIFS(Rótulos!$G$5:$G$212,Rótulos!$A$5:$A$212,$A138,Rótulos!$B$5:$B$212,$B138,Rótulos!$C$5:$C$212,$C138,Rótulos!$H$5:$H$212,$D138,Rótulos!$I$5:$I$212,$E138,Rótulos!$F$5:$F$212,"B2B")</f>
        <v>6</v>
      </c>
      <c r="J138" s="12" t="n">
        <f aca="false">H138+I138</f>
        <v>6</v>
      </c>
    </row>
    <row r="139" customFormat="false" ht="15" hidden="false" customHeight="false" outlineLevel="0" collapsed="false">
      <c r="A139" s="4" t="s">
        <v>73</v>
      </c>
      <c r="B139" s="4" t="s">
        <v>12</v>
      </c>
      <c r="C139" s="4" t="n">
        <v>15</v>
      </c>
      <c r="D139" s="4" t="s">
        <v>16</v>
      </c>
      <c r="E139" s="4" t="s">
        <v>17</v>
      </c>
      <c r="F139" s="4" t="s">
        <v>14</v>
      </c>
      <c r="G139" s="4" t="s">
        <v>15</v>
      </c>
      <c r="H139" s="11" t="n">
        <f aca="false">SUMIFS(Rótulos!$G$5:$G$212,Rótulos!$A$5:$A$212,$A139,Rótulos!$B$5:$B$212,$B139,Rótulos!$C$5:$C$212,$C139,Rótulos!$H$5:$H$212,$D139,Rótulos!$I$5:$I$212,$E139,Rótulos!$F$5:$F$212,"B2C")</f>
        <v>100</v>
      </c>
      <c r="I139" s="11" t="n">
        <f aca="false">SUMIFS(Rótulos!$G$5:$G$212,Rótulos!$A$5:$A$212,$A139,Rótulos!$B$5:$B$212,$B139,Rótulos!$C$5:$C$212,$C139,Rótulos!$H$5:$H$212,$D139,Rótulos!$I$5:$I$212,$E139,Rótulos!$F$5:$F$212,"B2B")</f>
        <v>0</v>
      </c>
      <c r="J139" s="12" t="n">
        <f aca="false">H139+I139</f>
        <v>100</v>
      </c>
    </row>
    <row r="140" customFormat="false" ht="15" hidden="false" customHeight="false" outlineLevel="0" collapsed="false">
      <c r="A140" s="4" t="s">
        <v>73</v>
      </c>
      <c r="B140" s="4" t="s">
        <v>12</v>
      </c>
      <c r="C140" s="4" t="n">
        <v>500</v>
      </c>
      <c r="D140" s="4" t="s">
        <v>24</v>
      </c>
      <c r="E140" s="4" t="s">
        <v>31</v>
      </c>
      <c r="F140" s="4" t="s">
        <v>35</v>
      </c>
      <c r="G140" s="4" t="s">
        <v>15</v>
      </c>
      <c r="H140" s="11" t="n">
        <f aca="false">SUMIFS(Rótulos!$G$5:$G$212,Rótulos!$A$5:$A$212,$A140,Rótulos!$B$5:$B$212,$B140,Rótulos!$C$5:$C$212,$C140,Rótulos!$H$5:$H$212,$D140,Rótulos!$I$5:$I$212,$E140,Rótulos!$F$5:$F$212,"B2C")</f>
        <v>10</v>
      </c>
      <c r="I140" s="11" t="n">
        <f aca="false">SUMIFS(Rótulos!$G$5:$G$212,Rótulos!$A$5:$A$212,$A140,Rótulos!$B$5:$B$212,$B140,Rótulos!$C$5:$C$212,$C140,Rótulos!$H$5:$H$212,$D140,Rótulos!$I$5:$I$212,$E140,Rótulos!$F$5:$F$212,"B2B")</f>
        <v>0</v>
      </c>
      <c r="J140" s="12" t="n">
        <f aca="false">H140+I140</f>
        <v>10</v>
      </c>
    </row>
    <row r="141" customFormat="false" ht="15" hidden="false" customHeight="false" outlineLevel="0" collapsed="false">
      <c r="A141" s="4" t="s">
        <v>73</v>
      </c>
      <c r="B141" s="4" t="s">
        <v>29</v>
      </c>
      <c r="C141" s="4" t="n">
        <v>15</v>
      </c>
      <c r="D141" s="4" t="s">
        <v>16</v>
      </c>
      <c r="E141" s="4" t="s">
        <v>17</v>
      </c>
      <c r="F141" s="4" t="s">
        <v>36</v>
      </c>
      <c r="G141" s="4" t="s">
        <v>15</v>
      </c>
      <c r="H141" s="11" t="n">
        <f aca="false">SUMIFS(Rótulos!$G$5:$G$212,Rótulos!$A$5:$A$212,$A141,Rótulos!$B$5:$B$212,$B141,Rótulos!$C$5:$C$212,$C141,Rótulos!$H$5:$H$212,$D141,Rótulos!$I$5:$I$212,$E141,Rótulos!$F$5:$F$212,"B2C")</f>
        <v>100</v>
      </c>
      <c r="I141" s="11" t="n">
        <f aca="false">SUMIFS(Rótulos!$G$5:$G$212,Rótulos!$A$5:$A$212,$A141,Rótulos!$B$5:$B$212,$B141,Rótulos!$C$5:$C$212,$C141,Rótulos!$H$5:$H$212,$D141,Rótulos!$I$5:$I$212,$E141,Rótulos!$F$5:$F$212,"B2B")</f>
        <v>0</v>
      </c>
      <c r="J141" s="12" t="n">
        <f aca="false">H141+I141</f>
        <v>100</v>
      </c>
    </row>
    <row r="142" customFormat="false" ht="15" hidden="false" customHeight="false" outlineLevel="0" collapsed="false">
      <c r="A142" s="4" t="s">
        <v>73</v>
      </c>
      <c r="B142" s="4" t="s">
        <v>29</v>
      </c>
      <c r="C142" s="4" t="n">
        <v>100</v>
      </c>
      <c r="D142" s="4" t="s">
        <v>24</v>
      </c>
      <c r="E142" s="4" t="s">
        <v>34</v>
      </c>
      <c r="F142" s="4" t="s">
        <v>36</v>
      </c>
      <c r="G142" s="4" t="s">
        <v>15</v>
      </c>
      <c r="H142" s="11" t="n">
        <f aca="false">SUMIFS(Rótulos!$G$5:$G$212,Rótulos!$A$5:$A$212,$A142,Rótulos!$B$5:$B$212,$B142,Rótulos!$C$5:$C$212,$C142,Rótulos!$H$5:$H$212,$D142,Rótulos!$I$5:$I$212,$E142,Rótulos!$F$5:$F$212,"B2C")</f>
        <v>30</v>
      </c>
      <c r="I142" s="11" t="n">
        <f aca="false">SUMIFS(Rótulos!$G$5:$G$212,Rótulos!$A$5:$A$212,$A142,Rótulos!$B$5:$B$212,$B142,Rótulos!$C$5:$C$212,$C142,Rótulos!$H$5:$H$212,$D142,Rótulos!$I$5:$I$212,$E142,Rótulos!$F$5:$F$212,"B2B")</f>
        <v>0</v>
      </c>
      <c r="J142" s="12" t="n">
        <f aca="false">H142+I142</f>
        <v>30</v>
      </c>
    </row>
    <row r="143" customFormat="false" ht="15" hidden="false" customHeight="false" outlineLevel="0" collapsed="false">
      <c r="A143" s="4" t="s">
        <v>73</v>
      </c>
      <c r="B143" s="4" t="s">
        <v>18</v>
      </c>
      <c r="C143" s="4" t="n">
        <v>250</v>
      </c>
      <c r="D143" s="4" t="s">
        <v>16</v>
      </c>
      <c r="E143" s="4" t="s">
        <v>21</v>
      </c>
      <c r="F143" s="4" t="s">
        <v>117</v>
      </c>
      <c r="G143" s="4" t="s">
        <v>15</v>
      </c>
      <c r="H143" s="11" t="n">
        <f aca="false">SUMIFS(Rótulos!$G$5:$G$212,Rótulos!$A$5:$A$212,$A143,Rótulos!$B$5:$B$212,$B143,Rótulos!$C$5:$C$212,$C143,Rótulos!$H$5:$H$212,$D143,Rótulos!$I$5:$I$212,$E143,Rótulos!$F$5:$F$212,"B2C")</f>
        <v>16</v>
      </c>
      <c r="I143" s="11" t="n">
        <f aca="false">SUMIFS(Rótulos!$G$5:$G$212,Rótulos!$A$5:$A$212,$A143,Rótulos!$B$5:$B$212,$B143,Rótulos!$C$5:$C$212,$C143,Rótulos!$H$5:$H$212,$D143,Rótulos!$I$5:$I$212,$E143,Rótulos!$F$5:$F$212,"B2B")</f>
        <v>0</v>
      </c>
      <c r="J143" s="12" t="n">
        <f aca="false">H143+I143</f>
        <v>16</v>
      </c>
    </row>
    <row r="144" customFormat="false" ht="15" hidden="false" customHeight="false" outlineLevel="0" collapsed="false">
      <c r="A144" s="4" t="s">
        <v>73</v>
      </c>
      <c r="B144" s="4" t="s">
        <v>18</v>
      </c>
      <c r="C144" s="4" t="n">
        <v>250</v>
      </c>
      <c r="D144" s="4" t="s">
        <v>24</v>
      </c>
      <c r="E144" s="4" t="s">
        <v>25</v>
      </c>
      <c r="F144" s="4" t="s">
        <v>23</v>
      </c>
      <c r="G144" s="4" t="s">
        <v>15</v>
      </c>
      <c r="H144" s="11" t="n">
        <f aca="false">SUMIFS(Rótulos!$G$5:$G$212,Rótulos!$A$5:$A$212,$A144,Rótulos!$B$5:$B$212,$B144,Rótulos!$C$5:$C$212,$C144,Rótulos!$H$5:$H$212,$D144,Rótulos!$I$5:$I$212,$E144,Rótulos!$F$5:$F$212,"B2C")</f>
        <v>2</v>
      </c>
      <c r="I144" s="11" t="n">
        <f aca="false">SUMIFS(Rótulos!$G$5:$G$212,Rótulos!$A$5:$A$212,$A144,Rótulos!$B$5:$B$212,$B144,Rótulos!$C$5:$C$212,$C144,Rótulos!$H$5:$H$212,$D144,Rótulos!$I$5:$I$212,$E144,Rótulos!$F$5:$F$212,"B2B")</f>
        <v>0</v>
      </c>
      <c r="J144" s="12" t="n">
        <f aca="false">H144+I144</f>
        <v>2</v>
      </c>
    </row>
    <row r="145" customFormat="false" ht="15" hidden="false" customHeight="false" outlineLevel="0" collapsed="false">
      <c r="A145" s="4" t="s">
        <v>74</v>
      </c>
      <c r="B145" s="4" t="s">
        <v>12</v>
      </c>
      <c r="C145" s="4" t="n">
        <v>150</v>
      </c>
      <c r="D145" s="4" t="s">
        <v>24</v>
      </c>
      <c r="E145" s="4" t="s">
        <v>25</v>
      </c>
      <c r="F145" s="4" t="s">
        <v>12</v>
      </c>
      <c r="G145" s="4" t="s">
        <v>30</v>
      </c>
      <c r="H145" s="11" t="n">
        <f aca="false">SUMIFS(Rótulos!$G$5:$G$212,Rótulos!$A$5:$A$212,$A145,Rótulos!$B$5:$B$212,$B145,Rótulos!$C$5:$C$212,$C145,Rótulos!$H$5:$H$212,$D145,Rótulos!$I$5:$I$212,$E145,Rótulos!$F$5:$F$212,"B2C")</f>
        <v>0</v>
      </c>
      <c r="I145" s="11" t="n">
        <f aca="false">SUMIFS(Rótulos!$G$5:$G$212,Rótulos!$A$5:$A$212,$A145,Rótulos!$B$5:$B$212,$B145,Rótulos!$C$5:$C$212,$C145,Rótulos!$H$5:$H$212,$D145,Rótulos!$I$5:$I$212,$E145,Rótulos!$F$5:$F$212,"B2B")</f>
        <v>9</v>
      </c>
      <c r="J145" s="12" t="n">
        <f aca="false">H145+I145</f>
        <v>9</v>
      </c>
    </row>
    <row r="146" customFormat="false" ht="15" hidden="false" customHeight="false" outlineLevel="0" collapsed="false">
      <c r="A146" s="4" t="s">
        <v>74</v>
      </c>
      <c r="B146" s="4" t="s">
        <v>12</v>
      </c>
      <c r="C146" s="4" t="n">
        <v>250</v>
      </c>
      <c r="D146" s="4" t="s">
        <v>24</v>
      </c>
      <c r="E146" s="4" t="s">
        <v>25</v>
      </c>
      <c r="F146" s="4" t="s">
        <v>12</v>
      </c>
      <c r="G146" s="4" t="s">
        <v>30</v>
      </c>
      <c r="H146" s="11" t="n">
        <f aca="false">SUMIFS(Rótulos!$G$5:$G$212,Rótulos!$A$5:$A$212,$A146,Rótulos!$B$5:$B$212,$B146,Rótulos!$C$5:$C$212,$C146,Rótulos!$H$5:$H$212,$D146,Rótulos!$I$5:$I$212,$E146,Rótulos!$F$5:$F$212,"B2C")</f>
        <v>0</v>
      </c>
      <c r="I146" s="11" t="n">
        <f aca="false">SUMIFS(Rótulos!$G$5:$G$212,Rótulos!$A$5:$A$212,$A146,Rótulos!$B$5:$B$212,$B146,Rótulos!$C$5:$C$212,$C146,Rótulos!$H$5:$H$212,$D146,Rótulos!$I$5:$I$212,$E146,Rótulos!$F$5:$F$212,"B2B")</f>
        <v>99</v>
      </c>
      <c r="J146" s="12" t="n">
        <f aca="false">H146+I146</f>
        <v>99</v>
      </c>
    </row>
    <row r="147" customFormat="false" ht="15" hidden="false" customHeight="false" outlineLevel="0" collapsed="false">
      <c r="A147" s="4" t="s">
        <v>74</v>
      </c>
      <c r="B147" s="4" t="s">
        <v>29</v>
      </c>
      <c r="C147" s="4" t="n">
        <v>160</v>
      </c>
      <c r="D147" s="4" t="s">
        <v>24</v>
      </c>
      <c r="E147" s="4" t="s">
        <v>106</v>
      </c>
      <c r="F147" s="4" t="s">
        <v>29</v>
      </c>
      <c r="G147" s="4" t="s">
        <v>30</v>
      </c>
      <c r="H147" s="11" t="n">
        <f aca="false">SUMIFS(Rótulos!$G$5:$G$212,Rótulos!$A$5:$A$212,$A147,Rótulos!$B$5:$B$212,$B147,Rótulos!$C$5:$C$212,$C147,Rótulos!$H$5:$H$212,$D147,Rótulos!$I$5:$I$212,"=",Rótulos!$F$5:$F$212,"B2C")</f>
        <v>0</v>
      </c>
      <c r="I147" s="11" t="n">
        <f aca="false">SUMIFS(Rótulos!$G$5:$G$212,Rótulos!$A$5:$A$212,$A147,Rótulos!$B$5:$B$212,$B147,Rótulos!$C$5:$C$212,$C147,Rótulos!$H$5:$H$212,$D147,Rótulos!$I$5:$I$212,"=",Rótulos!$F$5:$F$212,"B2B")</f>
        <v>9</v>
      </c>
      <c r="J147" s="12" t="n">
        <f aca="false">H147+I147</f>
        <v>9</v>
      </c>
    </row>
    <row r="148" customFormat="false" ht="15" hidden="false" customHeight="false" outlineLevel="0" collapsed="false">
      <c r="A148" s="4" t="s">
        <v>74</v>
      </c>
      <c r="B148" s="4" t="s">
        <v>29</v>
      </c>
      <c r="C148" s="4" t="n">
        <v>400</v>
      </c>
      <c r="D148" s="4" t="s">
        <v>24</v>
      </c>
      <c r="E148" s="4" t="s">
        <v>31</v>
      </c>
      <c r="F148" s="4" t="s">
        <v>29</v>
      </c>
      <c r="G148" s="4" t="s">
        <v>30</v>
      </c>
      <c r="H148" s="11" t="n">
        <f aca="false">SUMIFS(Rótulos!$G$5:$G$212,Rótulos!$A$5:$A$212,$A148,Rótulos!$B$5:$B$212,$B148,Rótulos!$C$5:$C$212,$C148,Rótulos!$H$5:$H$212,$D148,Rótulos!$I$5:$I$212,$E148,Rótulos!$F$5:$F$212,"B2C")</f>
        <v>0</v>
      </c>
      <c r="I148" s="11" t="n">
        <f aca="false">SUMIFS(Rótulos!$G$5:$G$212,Rótulos!$A$5:$A$212,$A148,Rótulos!$B$5:$B$212,$B148,Rótulos!$C$5:$C$212,$C148,Rótulos!$H$5:$H$212,$D148,Rótulos!$I$5:$I$212,$E148,Rótulos!$F$5:$F$212,"B2B")</f>
        <v>18</v>
      </c>
      <c r="J148" s="12" t="n">
        <f aca="false">H148+I148</f>
        <v>18</v>
      </c>
    </row>
    <row r="149" customFormat="false" ht="15" hidden="false" customHeight="false" outlineLevel="0" collapsed="false">
      <c r="A149" s="4" t="s">
        <v>74</v>
      </c>
      <c r="B149" s="4" t="s">
        <v>33</v>
      </c>
      <c r="C149" s="4" t="n">
        <v>100</v>
      </c>
      <c r="D149" s="4" t="s">
        <v>24</v>
      </c>
      <c r="E149" s="4" t="s">
        <v>34</v>
      </c>
      <c r="F149" s="4" t="s">
        <v>33</v>
      </c>
      <c r="G149" s="4" t="s">
        <v>30</v>
      </c>
      <c r="H149" s="11" t="n">
        <f aca="false">SUMIFS(Rótulos!$G$5:$G$212,Rótulos!$A$5:$A$212,$A149,Rótulos!$B$5:$B$212,$B149,Rótulos!$C$5:$C$212,$C149,Rótulos!$H$5:$H$212,$D149,Rótulos!$I$5:$I$212,$E149,Rótulos!$F$5:$F$212,"B2C")</f>
        <v>0</v>
      </c>
      <c r="I149" s="11" t="n">
        <f aca="false">SUMIFS(Rótulos!$G$5:$G$212,Rótulos!$A$5:$A$212,$A149,Rótulos!$B$5:$B$212,$B149,Rótulos!$C$5:$C$212,$C149,Rótulos!$H$5:$H$212,$D149,Rótulos!$I$5:$I$212,$E149,Rótulos!$F$5:$F$212,"B2B")</f>
        <v>14</v>
      </c>
      <c r="J149" s="12" t="n">
        <f aca="false">H149+I149</f>
        <v>14</v>
      </c>
    </row>
    <row r="150" customFormat="false" ht="15" hidden="false" customHeight="false" outlineLevel="0" collapsed="false">
      <c r="A150" s="4" t="s">
        <v>74</v>
      </c>
      <c r="B150" s="4" t="s">
        <v>33</v>
      </c>
      <c r="C150" s="4" t="n">
        <v>500</v>
      </c>
      <c r="D150" s="4" t="s">
        <v>24</v>
      </c>
      <c r="E150" s="4" t="s">
        <v>31</v>
      </c>
      <c r="F150" s="4" t="s">
        <v>33</v>
      </c>
      <c r="G150" s="4" t="s">
        <v>30</v>
      </c>
      <c r="H150" s="11" t="n">
        <f aca="false">SUMIFS(Rótulos!$G$5:$G$212,Rótulos!$A$5:$A$212,$A150,Rótulos!$B$5:$B$212,$B150,Rótulos!$C$5:$C$212,$C150,Rótulos!$H$5:$H$212,$D150,Rótulos!$I$5:$I$212,$E150,Rótulos!$F$5:$F$212,"B2C")</f>
        <v>0</v>
      </c>
      <c r="I150" s="11" t="n">
        <f aca="false">SUMIFS(Rótulos!$G$5:$G$212,Rótulos!$A$5:$A$212,$A150,Rótulos!$B$5:$B$212,$B150,Rótulos!$C$5:$C$212,$C150,Rótulos!$H$5:$H$212,$D150,Rótulos!$I$5:$I$212,$E150,Rótulos!$F$5:$F$212,"B2B")</f>
        <v>9</v>
      </c>
      <c r="J150" s="12" t="n">
        <f aca="false">H150+I150</f>
        <v>9</v>
      </c>
    </row>
    <row r="151" customFormat="false" ht="15" hidden="false" customHeight="false" outlineLevel="0" collapsed="false">
      <c r="A151" s="4" t="s">
        <v>75</v>
      </c>
      <c r="B151" s="4" t="s">
        <v>18</v>
      </c>
      <c r="C151" s="4" t="n">
        <v>100</v>
      </c>
      <c r="D151" s="4" t="s">
        <v>24</v>
      </c>
      <c r="E151" s="4" t="s">
        <v>34</v>
      </c>
      <c r="F151" s="4" t="s">
        <v>76</v>
      </c>
      <c r="G151" s="4" t="s">
        <v>15</v>
      </c>
      <c r="H151" s="11" t="n">
        <f aca="false">SUMIFS(Rótulos!$G$5:$G$212,Rótulos!$A$5:$A$212,$A151,Rótulos!$B$5:$B$212,$B151,Rótulos!$C$5:$C$212,$C151,Rótulos!$H$5:$H$212,$D151,Rótulos!$I$5:$I$212,$E151,Rótulos!$F$5:$F$212,"B2C")</f>
        <v>150</v>
      </c>
      <c r="I151" s="11" t="n">
        <f aca="false">SUMIFS(Rótulos!$G$5:$G$212,Rótulos!$A$5:$A$212,$A151,Rótulos!$B$5:$B$212,$B151,Rótulos!$C$5:$C$212,$C151,Rótulos!$H$5:$H$212,$D151,Rótulos!$I$5:$I$212,$E151,Rótulos!$F$5:$F$212,"B2B")</f>
        <v>0</v>
      </c>
      <c r="J151" s="12" t="n">
        <f aca="false">H151+I151</f>
        <v>150</v>
      </c>
    </row>
    <row r="152" customFormat="false" ht="15" hidden="false" customHeight="false" outlineLevel="0" collapsed="false">
      <c r="A152" s="4" t="s">
        <v>77</v>
      </c>
      <c r="B152" s="4" t="s">
        <v>33</v>
      </c>
      <c r="C152" s="4" t="n">
        <v>1000</v>
      </c>
      <c r="D152" s="4" t="s">
        <v>24</v>
      </c>
      <c r="E152" s="4" t="s">
        <v>32</v>
      </c>
      <c r="F152" s="4" t="s">
        <v>33</v>
      </c>
      <c r="G152" s="4" t="s">
        <v>30</v>
      </c>
      <c r="H152" s="11" t="n">
        <f aca="false">SUMIFS(Rótulos!$G$5:$G$212,Rótulos!$A$5:$A$212,$A152,Rótulos!$B$5:$B$212,$B152,Rótulos!$C$5:$C$212,$C152,Rótulos!$H$5:$H$212,$D152,Rótulos!$I$5:$I$212,$E152,Rótulos!$F$5:$F$212,"B2C")</f>
        <v>0</v>
      </c>
      <c r="I152" s="11" t="n">
        <f aca="false">SUMIFS(Rótulos!$G$5:$G$212,Rótulos!$A$5:$A$212,$A152,Rótulos!$B$5:$B$212,$B152,Rótulos!$C$5:$C$212,$C152,Rótulos!$H$5:$H$212,$D152,Rótulos!$I$5:$I$212,$E152,Rótulos!$F$5:$F$212,"B2B")</f>
        <v>9</v>
      </c>
      <c r="J152" s="12" t="n">
        <f aca="false">H152+I152</f>
        <v>9</v>
      </c>
    </row>
    <row r="153" customFormat="false" ht="15" hidden="false" customHeight="false" outlineLevel="0" collapsed="false">
      <c r="A153" s="4" t="s">
        <v>78</v>
      </c>
      <c r="B153" s="4" t="s">
        <v>12</v>
      </c>
      <c r="C153" s="4" t="n">
        <v>15</v>
      </c>
      <c r="D153" s="4" t="s">
        <v>16</v>
      </c>
      <c r="E153" s="4" t="s">
        <v>17</v>
      </c>
      <c r="F153" s="4" t="s">
        <v>14</v>
      </c>
      <c r="G153" s="4" t="s">
        <v>15</v>
      </c>
      <c r="H153" s="11" t="n">
        <f aca="false">SUMIFS(Rótulos!$G$5:$G$212,Rótulos!$A$5:$A$212,$A153,Rótulos!$B$5:$B$212,$B153,Rótulos!$C$5:$C$212,$C153,Rótulos!$H$5:$H$212,$D153,Rótulos!$I$5:$I$212,$E153,Rótulos!$F$5:$F$212,"B2C")</f>
        <v>200</v>
      </c>
      <c r="I153" s="11" t="n">
        <f aca="false">SUMIFS(Rótulos!$G$5:$G$212,Rótulos!$A$5:$A$212,$A153,Rótulos!$B$5:$B$212,$B153,Rótulos!$C$5:$C$212,$C153,Rótulos!$H$5:$H$212,$D153,Rótulos!$I$5:$I$212,$E153,Rótulos!$F$5:$F$212,"B2B")</f>
        <v>0</v>
      </c>
      <c r="J153" s="12" t="n">
        <f aca="false">H153+I153</f>
        <v>200</v>
      </c>
    </row>
    <row r="154" customFormat="false" ht="15" hidden="false" customHeight="false" outlineLevel="0" collapsed="false">
      <c r="A154" s="4" t="s">
        <v>78</v>
      </c>
      <c r="B154" s="4" t="s">
        <v>18</v>
      </c>
      <c r="C154" s="4" t="n">
        <v>250</v>
      </c>
      <c r="D154" s="4" t="s">
        <v>16</v>
      </c>
      <c r="E154" s="4" t="s">
        <v>21</v>
      </c>
      <c r="F154" s="4" t="s">
        <v>117</v>
      </c>
      <c r="G154" s="4" t="s">
        <v>15</v>
      </c>
      <c r="H154" s="11" t="n">
        <f aca="false">SUMIFS(Rótulos!$G$5:$G$212,Rótulos!$A$5:$A$212,$A154,Rótulos!$B$5:$B$212,$B154,Rótulos!$C$5:$C$212,$C154,Rótulos!$H$5:$H$212,$D154,Rótulos!$I$5:$I$212,$E154,Rótulos!$F$5:$F$212,"B2C")</f>
        <v>36</v>
      </c>
      <c r="I154" s="11" t="n">
        <f aca="false">SUMIFS(Rótulos!$G$5:$G$212,Rótulos!$A$5:$A$212,$A154,Rótulos!$B$5:$B$212,$B154,Rótulos!$C$5:$C$212,$C154,Rótulos!$H$5:$H$212,$D154,Rótulos!$I$5:$I$212,$E154,Rótulos!$F$5:$F$212,"B2B")</f>
        <v>0</v>
      </c>
      <c r="J154" s="12" t="n">
        <f aca="false">H154+I154</f>
        <v>36</v>
      </c>
    </row>
    <row r="155" customFormat="false" ht="15" hidden="false" customHeight="false" outlineLevel="0" collapsed="false">
      <c r="A155" s="4" t="s">
        <v>78</v>
      </c>
      <c r="B155" s="4" t="s">
        <v>18</v>
      </c>
      <c r="C155" s="4" t="n">
        <v>250</v>
      </c>
      <c r="D155" s="4" t="s">
        <v>24</v>
      </c>
      <c r="E155" s="4" t="s">
        <v>25</v>
      </c>
      <c r="F155" s="4" t="s">
        <v>23</v>
      </c>
      <c r="G155" s="4" t="s">
        <v>15</v>
      </c>
      <c r="H155" s="11" t="n">
        <f aca="false">SUMIFS(Rótulos!$G$5:$G$212,Rótulos!$A$5:$A$212,$A155,Rótulos!$B$5:$B$212,$B155,Rótulos!$C$5:$C$212,$C155,Rótulos!$H$5:$H$212,$D155,Rótulos!$I$5:$I$212,$E155,Rótulos!$F$5:$F$212,"B2C")</f>
        <v>12</v>
      </c>
      <c r="I155" s="11" t="n">
        <f aca="false">SUMIFS(Rótulos!$G$5:$G$212,Rótulos!$A$5:$A$212,$A155,Rótulos!$B$5:$B$212,$B155,Rótulos!$C$5:$C$212,$C155,Rótulos!$H$5:$H$212,$D155,Rótulos!$I$5:$I$212,$E155,Rótulos!$F$5:$F$212,"B2B")</f>
        <v>0</v>
      </c>
      <c r="J155" s="12" t="n">
        <f aca="false">H155+I155</f>
        <v>12</v>
      </c>
    </row>
    <row r="156" customFormat="false" ht="15" hidden="false" customHeight="false" outlineLevel="0" collapsed="false">
      <c r="A156" s="4" t="s">
        <v>79</v>
      </c>
      <c r="B156" s="4" t="s">
        <v>29</v>
      </c>
      <c r="C156" s="4" t="n">
        <v>1000</v>
      </c>
      <c r="D156" s="4" t="s">
        <v>24</v>
      </c>
      <c r="E156" s="4" t="s">
        <v>32</v>
      </c>
      <c r="F156" s="4" t="s">
        <v>29</v>
      </c>
      <c r="G156" s="4" t="s">
        <v>30</v>
      </c>
      <c r="H156" s="11" t="n">
        <f aca="false">SUMIFS(Rótulos!$G$5:$G$212,Rótulos!$A$5:$A$212,$A156,Rótulos!$B$5:$B$212,$B156,Rótulos!$C$5:$C$212,$C156,Rótulos!$H$5:$H$212,$D156,Rótulos!$I$5:$I$212,$E156,Rótulos!$F$5:$F$212,"B2C")</f>
        <v>0</v>
      </c>
      <c r="I156" s="11" t="n">
        <f aca="false">SUMIFS(Rótulos!$G$5:$G$212,Rótulos!$A$5:$A$212,$A156,Rótulos!$B$5:$B$212,$B156,Rótulos!$C$5:$C$212,$C156,Rótulos!$H$5:$H$212,$D156,Rótulos!$I$5:$I$212,$E156,Rótulos!$F$5:$F$212,"B2B")</f>
        <v>4</v>
      </c>
      <c r="J156" s="12" t="n">
        <f aca="false">H156+I156</f>
        <v>4</v>
      </c>
    </row>
    <row r="157" customFormat="false" ht="15" hidden="false" customHeight="false" outlineLevel="0" collapsed="false">
      <c r="A157" s="4" t="s">
        <v>80</v>
      </c>
      <c r="B157" s="4" t="s">
        <v>29</v>
      </c>
      <c r="C157" s="4" t="n">
        <v>400</v>
      </c>
      <c r="D157" s="4" t="s">
        <v>24</v>
      </c>
      <c r="E157" s="4" t="s">
        <v>31</v>
      </c>
      <c r="F157" s="4" t="s">
        <v>29</v>
      </c>
      <c r="G157" s="4" t="s">
        <v>30</v>
      </c>
      <c r="H157" s="11" t="n">
        <f aca="false">SUMIFS(Rótulos!$G$5:$G$212,Rótulos!$A$5:$A$212,$A157,Rótulos!$B$5:$B$212,$B157,Rótulos!$C$5:$C$212,$C157,Rótulos!$H$5:$H$212,$D157,Rótulos!$I$5:$I$212,$E157,Rótulos!$F$5:$F$212,"B2C")</f>
        <v>0</v>
      </c>
      <c r="I157" s="11" t="n">
        <f aca="false">SUMIFS(Rótulos!$G$5:$G$212,Rótulos!$A$5:$A$212,$A157,Rótulos!$B$5:$B$212,$B157,Rótulos!$C$5:$C$212,$C157,Rótulos!$H$5:$H$212,$D157,Rótulos!$I$5:$I$212,$E157,Rótulos!$F$5:$F$212,"B2B")</f>
        <v>9</v>
      </c>
      <c r="J157" s="12" t="n">
        <f aca="false">H157+I157</f>
        <v>9</v>
      </c>
    </row>
    <row r="158" customFormat="false" ht="15" hidden="false" customHeight="false" outlineLevel="0" collapsed="false">
      <c r="A158" s="4" t="s">
        <v>80</v>
      </c>
      <c r="B158" s="4" t="s">
        <v>33</v>
      </c>
      <c r="C158" s="4" t="n">
        <v>100</v>
      </c>
      <c r="D158" s="4" t="s">
        <v>24</v>
      </c>
      <c r="E158" s="4" t="s">
        <v>34</v>
      </c>
      <c r="F158" s="4" t="s">
        <v>33</v>
      </c>
      <c r="G158" s="4" t="s">
        <v>30</v>
      </c>
      <c r="H158" s="11" t="n">
        <f aca="false">SUMIFS(Rótulos!$G$5:$G$212,Rótulos!$A$5:$A$212,$A158,Rótulos!$B$5:$B$212,$B158,Rótulos!$C$5:$C$212,$C158,Rótulos!$H$5:$H$212,$D158,Rótulos!$I$5:$I$212,$E158,Rótulos!$F$5:$F$212,"B2C")</f>
        <v>0</v>
      </c>
      <c r="I158" s="11" t="n">
        <f aca="false">SUMIFS(Rótulos!$G$5:$G$212,Rótulos!$A$5:$A$212,$A158,Rótulos!$B$5:$B$212,$B158,Rótulos!$C$5:$C$212,$C158,Rótulos!$H$5:$H$212,$D158,Rótulos!$I$5:$I$212,$E158,Rótulos!$F$5:$F$212,"B2B")</f>
        <v>9</v>
      </c>
      <c r="J158" s="12" t="n">
        <f aca="false">H158+I158</f>
        <v>9</v>
      </c>
    </row>
    <row r="159" customFormat="false" ht="15" hidden="false" customHeight="false" outlineLevel="0" collapsed="false">
      <c r="A159" s="4" t="s">
        <v>80</v>
      </c>
      <c r="B159" s="4" t="s">
        <v>33</v>
      </c>
      <c r="C159" s="4" t="n">
        <v>500</v>
      </c>
      <c r="D159" s="4" t="s">
        <v>24</v>
      </c>
      <c r="E159" s="4" t="s">
        <v>31</v>
      </c>
      <c r="F159" s="4" t="s">
        <v>33</v>
      </c>
      <c r="G159" s="4" t="s">
        <v>30</v>
      </c>
      <c r="H159" s="11" t="n">
        <f aca="false">SUMIFS(Rótulos!$G$5:$G$212,Rótulos!$A$5:$A$212,$A159,Rótulos!$B$5:$B$212,$B159,Rótulos!$C$5:$C$212,$C159,Rótulos!$H$5:$H$212,$D159,Rótulos!$I$5:$I$212,$E159,Rótulos!$F$5:$F$212,"B2C")</f>
        <v>0</v>
      </c>
      <c r="I159" s="11" t="n">
        <f aca="false">SUMIFS(Rótulos!$G$5:$G$212,Rótulos!$A$5:$A$212,$A159,Rótulos!$B$5:$B$212,$B159,Rótulos!$C$5:$C$212,$C159,Rótulos!$H$5:$H$212,$D159,Rótulos!$I$5:$I$212,$E159,Rótulos!$F$5:$F$212,"B2B")</f>
        <v>9</v>
      </c>
      <c r="J159" s="12" t="n">
        <f aca="false">H159+I159</f>
        <v>9</v>
      </c>
    </row>
    <row r="160" customFormat="false" ht="15" hidden="false" customHeight="false" outlineLevel="0" collapsed="false">
      <c r="A160" s="4" t="s">
        <v>81</v>
      </c>
      <c r="B160" s="4" t="s">
        <v>12</v>
      </c>
      <c r="C160" s="4" t="n">
        <v>15</v>
      </c>
      <c r="D160" s="4" t="s">
        <v>16</v>
      </c>
      <c r="E160" s="4" t="s">
        <v>17</v>
      </c>
      <c r="F160" s="4" t="s">
        <v>14</v>
      </c>
      <c r="G160" s="4" t="s">
        <v>15</v>
      </c>
      <c r="H160" s="11" t="n">
        <f aca="false">SUMIFS(Rótulos!$G$5:$G$212,Rótulos!$A$5:$A$212,$A160,Rótulos!$B$5:$B$212,$B160,Rótulos!$C$5:$C$212,$C160,Rótulos!$H$5:$H$212,$D160,Rótulos!$I$5:$I$212,$E160,Rótulos!$F$5:$F$212,"B2C")</f>
        <v>200</v>
      </c>
      <c r="I160" s="11" t="n">
        <f aca="false">SUMIFS(Rótulos!$G$5:$G$212,Rótulos!$A$5:$A$212,$A160,Rótulos!$B$5:$B$212,$B160,Rótulos!$C$5:$C$212,$C160,Rótulos!$H$5:$H$212,$D160,Rótulos!$I$5:$I$212,$E160,Rótulos!$F$5:$F$212,"B2B")</f>
        <v>0</v>
      </c>
      <c r="J160" s="12" t="n">
        <f aca="false">H160+I160</f>
        <v>200</v>
      </c>
    </row>
    <row r="161" customFormat="false" ht="15" hidden="false" customHeight="false" outlineLevel="0" collapsed="false">
      <c r="A161" s="4" t="s">
        <v>81</v>
      </c>
      <c r="B161" s="4" t="s">
        <v>18</v>
      </c>
      <c r="C161" s="4" t="n">
        <v>250</v>
      </c>
      <c r="D161" s="4" t="s">
        <v>16</v>
      </c>
      <c r="E161" s="4" t="s">
        <v>21</v>
      </c>
      <c r="F161" s="4" t="s">
        <v>117</v>
      </c>
      <c r="G161" s="4" t="s">
        <v>15</v>
      </c>
      <c r="H161" s="11" t="n">
        <f aca="false">SUMIFS(Rótulos!$G$5:$G$212,Rótulos!$A$5:$A$212,$A161,Rótulos!$B$5:$B$212,$B161,Rótulos!$C$5:$C$212,$C161,Rótulos!$H$5:$H$212,$D161,Rótulos!$I$5:$I$212,$E161,Rótulos!$F$5:$F$212,"B2C")</f>
        <v>36</v>
      </c>
      <c r="I161" s="11" t="n">
        <f aca="false">SUMIFS(Rótulos!$G$5:$G$212,Rótulos!$A$5:$A$212,$A161,Rótulos!$B$5:$B$212,$B161,Rótulos!$C$5:$C$212,$C161,Rótulos!$H$5:$H$212,$D161,Rótulos!$I$5:$I$212,$E161,Rótulos!$F$5:$F$212,"B2B")</f>
        <v>0</v>
      </c>
      <c r="J161" s="12" t="n">
        <f aca="false">H161+I161</f>
        <v>36</v>
      </c>
    </row>
    <row r="162" customFormat="false" ht="15" hidden="false" customHeight="false" outlineLevel="0" collapsed="false">
      <c r="A162" s="4" t="s">
        <v>81</v>
      </c>
      <c r="B162" s="4" t="s">
        <v>18</v>
      </c>
      <c r="C162" s="4" t="n">
        <v>250</v>
      </c>
      <c r="D162" s="4" t="s">
        <v>24</v>
      </c>
      <c r="E162" s="4" t="s">
        <v>25</v>
      </c>
      <c r="F162" s="4" t="s">
        <v>23</v>
      </c>
      <c r="G162" s="4" t="s">
        <v>15</v>
      </c>
      <c r="H162" s="11" t="n">
        <f aca="false">SUMIFS(Rótulos!$G$5:$G$212,Rótulos!$A$5:$A$212,$A162,Rótulos!$B$5:$B$212,$B162,Rótulos!$C$5:$C$212,$C162,Rótulos!$H$5:$H$212,$D162,Rótulos!$I$5:$I$212,$E162,Rótulos!$F$5:$F$212,"B2C")</f>
        <v>12</v>
      </c>
      <c r="I162" s="11" t="n">
        <f aca="false">SUMIFS(Rótulos!$G$5:$G$212,Rótulos!$A$5:$A$212,$A162,Rótulos!$B$5:$B$212,$B162,Rótulos!$C$5:$C$212,$C162,Rótulos!$H$5:$H$212,$D162,Rótulos!$I$5:$I$212,$E162,Rótulos!$F$5:$F$212,"B2B")</f>
        <v>0</v>
      </c>
      <c r="J162" s="12" t="n">
        <f aca="false">H162+I162</f>
        <v>12</v>
      </c>
    </row>
    <row r="163" customFormat="false" ht="15" hidden="false" customHeight="false" outlineLevel="0" collapsed="false">
      <c r="A163" s="4" t="s">
        <v>82</v>
      </c>
      <c r="B163" s="4" t="s">
        <v>29</v>
      </c>
      <c r="C163" s="4" t="n">
        <v>400</v>
      </c>
      <c r="D163" s="4" t="s">
        <v>24</v>
      </c>
      <c r="E163" s="4" t="s">
        <v>31</v>
      </c>
      <c r="F163" s="4" t="s">
        <v>29</v>
      </c>
      <c r="G163" s="4" t="s">
        <v>30</v>
      </c>
      <c r="H163" s="11" t="n">
        <f aca="false">SUMIFS(Rótulos!$G$5:$G$212,Rótulos!$A$5:$A$212,$A163,Rótulos!$B$5:$B$212,$B163,Rótulos!$C$5:$C$212,$C163,Rótulos!$H$5:$H$212,$D163,Rótulos!$I$5:$I$212,$E163,Rótulos!$F$5:$F$212,"B2C")</f>
        <v>0</v>
      </c>
      <c r="I163" s="11" t="n">
        <f aca="false">SUMIFS(Rótulos!$G$5:$G$212,Rótulos!$A$5:$A$212,$A163,Rótulos!$B$5:$B$212,$B163,Rótulos!$C$5:$C$212,$C163,Rótulos!$H$5:$H$212,$D163,Rótulos!$I$5:$I$212,$E163,Rótulos!$F$5:$F$212,"B2B")</f>
        <v>1</v>
      </c>
      <c r="J163" s="12" t="n">
        <f aca="false">H163+I163</f>
        <v>1</v>
      </c>
    </row>
    <row r="164" customFormat="false" ht="15" hidden="false" customHeight="false" outlineLevel="0" collapsed="false">
      <c r="A164" s="4" t="s">
        <v>82</v>
      </c>
      <c r="B164" s="4" t="s">
        <v>33</v>
      </c>
      <c r="C164" s="4" t="n">
        <v>500</v>
      </c>
      <c r="D164" s="4" t="s">
        <v>24</v>
      </c>
      <c r="E164" s="4" t="s">
        <v>31</v>
      </c>
      <c r="F164" s="4" t="s">
        <v>33</v>
      </c>
      <c r="G164" s="4" t="s">
        <v>30</v>
      </c>
      <c r="H164" s="11" t="n">
        <f aca="false">SUMIFS(Rótulos!$G$5:$G$212,Rótulos!$A$5:$A$212,$A164,Rótulos!$B$5:$B$212,$B164,Rótulos!$C$5:$C$212,$C164,Rótulos!$H$5:$H$212,$D164,Rótulos!$I$5:$I$212,$E164,Rótulos!$F$5:$F$212,"B2C")</f>
        <v>0</v>
      </c>
      <c r="I164" s="11" t="n">
        <f aca="false">SUMIFS(Rótulos!$G$5:$G$212,Rótulos!$A$5:$A$212,$A164,Rótulos!$B$5:$B$212,$B164,Rótulos!$C$5:$C$212,$C164,Rótulos!$H$5:$H$212,$D164,Rótulos!$I$5:$I$212,$E164,Rótulos!$F$5:$F$212,"B2B")</f>
        <v>10</v>
      </c>
      <c r="J164" s="12" t="n">
        <f aca="false">H164+I164</f>
        <v>10</v>
      </c>
    </row>
    <row r="165" customFormat="false" ht="15" hidden="false" customHeight="false" outlineLevel="0" collapsed="false">
      <c r="A165" s="4" t="s">
        <v>83</v>
      </c>
      <c r="B165" s="4" t="s">
        <v>29</v>
      </c>
      <c r="C165" s="4" t="n">
        <v>200</v>
      </c>
      <c r="D165" s="4" t="s">
        <v>24</v>
      </c>
      <c r="E165" s="4" t="s">
        <v>106</v>
      </c>
      <c r="F165" s="4" t="s">
        <v>29</v>
      </c>
      <c r="G165" s="4" t="s">
        <v>30</v>
      </c>
      <c r="H165" s="11" t="n">
        <f aca="false">SUMIFS(Rótulos!$G$5:$G$212,Rótulos!$A$5:$A$212,$A165,Rótulos!$B$5:$B$212,$B165,Rótulos!$C$5:$C$212,$C165,Rótulos!$H$5:$H$212,$D165,Rótulos!$I$5:$I$212,"=",Rótulos!$F$5:$F$212,"B2C")</f>
        <v>0</v>
      </c>
      <c r="I165" s="11" t="n">
        <f aca="false">SUMIFS(Rótulos!$G$5:$G$212,Rótulos!$A$5:$A$212,$A165,Rótulos!$B$5:$B$212,$B165,Rótulos!$C$5:$C$212,$C165,Rótulos!$H$5:$H$212,$D165,Rótulos!$I$5:$I$212,"=",Rótulos!$F$5:$F$212,"B2B")</f>
        <v>2</v>
      </c>
      <c r="J165" s="12" t="n">
        <f aca="false">H165+I165</f>
        <v>2</v>
      </c>
    </row>
    <row r="166" customFormat="false" ht="15" hidden="false" customHeight="false" outlineLevel="0" collapsed="false">
      <c r="A166" s="4" t="s">
        <v>83</v>
      </c>
      <c r="B166" s="4" t="s">
        <v>29</v>
      </c>
      <c r="C166" s="4" t="n">
        <v>400</v>
      </c>
      <c r="D166" s="4" t="s">
        <v>24</v>
      </c>
      <c r="E166" s="4" t="s">
        <v>31</v>
      </c>
      <c r="F166" s="4" t="s">
        <v>29</v>
      </c>
      <c r="G166" s="4" t="s">
        <v>30</v>
      </c>
      <c r="H166" s="11" t="n">
        <f aca="false">SUMIFS(Rótulos!$G$5:$G$212,Rótulos!$A$5:$A$212,$A166,Rótulos!$B$5:$B$212,$B166,Rótulos!$C$5:$C$212,$C166,Rótulos!$H$5:$H$212,$D166,Rótulos!$I$5:$I$212,$E166,Rótulos!$F$5:$F$212,"B2C")</f>
        <v>0</v>
      </c>
      <c r="I166" s="11" t="n">
        <f aca="false">SUMIFS(Rótulos!$G$5:$G$212,Rótulos!$A$5:$A$212,$A166,Rótulos!$B$5:$B$212,$B166,Rótulos!$C$5:$C$212,$C166,Rótulos!$H$5:$H$212,$D166,Rótulos!$I$5:$I$212,$E166,Rótulos!$F$5:$F$212,"B2B")</f>
        <v>11</v>
      </c>
      <c r="J166" s="12" t="n">
        <f aca="false">H166+I166</f>
        <v>11</v>
      </c>
    </row>
    <row r="167" customFormat="false" ht="15" hidden="false" customHeight="false" outlineLevel="0" collapsed="false">
      <c r="A167" s="4" t="s">
        <v>83</v>
      </c>
      <c r="B167" s="4" t="s">
        <v>29</v>
      </c>
      <c r="C167" s="4" t="n">
        <v>1000</v>
      </c>
      <c r="D167" s="4" t="s">
        <v>24</v>
      </c>
      <c r="E167" s="4" t="s">
        <v>32</v>
      </c>
      <c r="F167" s="4" t="s">
        <v>29</v>
      </c>
      <c r="G167" s="4" t="s">
        <v>30</v>
      </c>
      <c r="H167" s="11" t="n">
        <f aca="false">SUMIFS(Rótulos!$G$5:$G$212,Rótulos!$A$5:$A$212,$A167,Rótulos!$B$5:$B$212,$B167,Rótulos!$C$5:$C$212,$C167,Rótulos!$H$5:$H$212,$D167,Rótulos!$I$5:$I$212,$E167,Rótulos!$F$5:$F$212,"B2C")</f>
        <v>0</v>
      </c>
      <c r="I167" s="11" t="n">
        <f aca="false">SUMIFS(Rótulos!$G$5:$G$212,Rótulos!$A$5:$A$212,$A167,Rótulos!$B$5:$B$212,$B167,Rótulos!$C$5:$C$212,$C167,Rótulos!$H$5:$H$212,$D167,Rótulos!$I$5:$I$212,$E167,Rótulos!$F$5:$F$212,"B2B")</f>
        <v>4</v>
      </c>
      <c r="J167" s="12" t="n">
        <f aca="false">H167+I167</f>
        <v>4</v>
      </c>
    </row>
    <row r="168" customFormat="false" ht="15" hidden="false" customHeight="false" outlineLevel="0" collapsed="false">
      <c r="A168" s="4" t="s">
        <v>83</v>
      </c>
      <c r="B168" s="4" t="s">
        <v>33</v>
      </c>
      <c r="C168" s="4" t="n">
        <v>100</v>
      </c>
      <c r="D168" s="4" t="s">
        <v>24</v>
      </c>
      <c r="E168" s="4" t="s">
        <v>34</v>
      </c>
      <c r="F168" s="4" t="s">
        <v>33</v>
      </c>
      <c r="G168" s="4" t="s">
        <v>30</v>
      </c>
      <c r="H168" s="11" t="n">
        <f aca="false">SUMIFS(Rótulos!$G$5:$G$212,Rótulos!$A$5:$A$212,$A168,Rótulos!$B$5:$B$212,$B168,Rótulos!$C$5:$C$212,$C168,Rótulos!$H$5:$H$212,$D168,Rótulos!$I$5:$I$212,$E168,Rótulos!$F$5:$F$212,"B2C")</f>
        <v>0</v>
      </c>
      <c r="I168" s="11" t="n">
        <f aca="false">SUMIFS(Rótulos!$G$5:$G$212,Rótulos!$A$5:$A$212,$A168,Rótulos!$B$5:$B$212,$B168,Rótulos!$C$5:$C$212,$C168,Rótulos!$H$5:$H$212,$D168,Rótulos!$I$5:$I$212,$E168,Rótulos!$F$5:$F$212,"B2B")</f>
        <v>4</v>
      </c>
      <c r="J168" s="12" t="n">
        <f aca="false">H168+I168</f>
        <v>4</v>
      </c>
    </row>
    <row r="169" customFormat="false" ht="15" hidden="false" customHeight="false" outlineLevel="0" collapsed="false">
      <c r="A169" s="4" t="s">
        <v>83</v>
      </c>
      <c r="B169" s="4" t="s">
        <v>33</v>
      </c>
      <c r="C169" s="4" t="n">
        <v>500</v>
      </c>
      <c r="D169" s="4" t="s">
        <v>24</v>
      </c>
      <c r="E169" s="4" t="s">
        <v>31</v>
      </c>
      <c r="F169" s="4" t="s">
        <v>33</v>
      </c>
      <c r="G169" s="4" t="s">
        <v>30</v>
      </c>
      <c r="H169" s="11" t="n">
        <f aca="false">SUMIFS(Rótulos!$G$5:$G$212,Rótulos!$A$5:$A$212,$A169,Rótulos!$B$5:$B$212,$B169,Rótulos!$C$5:$C$212,$C169,Rótulos!$H$5:$H$212,$D169,Rótulos!$I$5:$I$212,$E169,Rótulos!$F$5:$F$212,"B2C")</f>
        <v>0</v>
      </c>
      <c r="I169" s="11" t="n">
        <f aca="false">SUMIFS(Rótulos!$G$5:$G$212,Rótulos!$A$5:$A$212,$A169,Rótulos!$B$5:$B$212,$B169,Rótulos!$C$5:$C$212,$C169,Rótulos!$H$5:$H$212,$D169,Rótulos!$I$5:$I$212,$E169,Rótulos!$F$5:$F$212,"B2B")</f>
        <v>24</v>
      </c>
      <c r="J169" s="12" t="n">
        <f aca="false">H169+I169</f>
        <v>24</v>
      </c>
    </row>
    <row r="170" customFormat="false" ht="15" hidden="false" customHeight="false" outlineLevel="0" collapsed="false">
      <c r="A170" s="4" t="s">
        <v>84</v>
      </c>
      <c r="B170" s="4" t="s">
        <v>29</v>
      </c>
      <c r="C170" s="4" t="n">
        <v>160</v>
      </c>
      <c r="D170" s="4" t="s">
        <v>24</v>
      </c>
      <c r="E170" s="4" t="s">
        <v>106</v>
      </c>
      <c r="F170" s="4" t="s">
        <v>29</v>
      </c>
      <c r="G170" s="4" t="s">
        <v>30</v>
      </c>
      <c r="H170" s="11" t="n">
        <f aca="false">SUMIFS(Rótulos!$G$5:$G$212,Rótulos!$A$5:$A$212,$A170,Rótulos!$B$5:$B$212,$B170,Rótulos!$C$5:$C$212,$C170,Rótulos!$H$5:$H$212,$D170,Rótulos!$I$5:$I$212,"=",Rótulos!$F$5:$F$212,"B2C")</f>
        <v>0</v>
      </c>
      <c r="I170" s="11" t="n">
        <f aca="false">SUMIFS(Rótulos!$G$5:$G$212,Rótulos!$A$5:$A$212,$A170,Rótulos!$B$5:$B$212,$B170,Rótulos!$C$5:$C$212,$C170,Rótulos!$H$5:$H$212,$D170,Rótulos!$I$5:$I$212,"=",Rótulos!$F$5:$F$212,"B2B")</f>
        <v>24</v>
      </c>
      <c r="J170" s="12" t="n">
        <f aca="false">H170+I170</f>
        <v>24</v>
      </c>
    </row>
    <row r="171" customFormat="false" ht="15" hidden="false" customHeight="false" outlineLevel="0" collapsed="false">
      <c r="A171" s="4" t="s">
        <v>84</v>
      </c>
      <c r="B171" s="4" t="s">
        <v>29</v>
      </c>
      <c r="C171" s="4" t="n">
        <v>400</v>
      </c>
      <c r="D171" s="4" t="s">
        <v>24</v>
      </c>
      <c r="E171" s="4" t="s">
        <v>31</v>
      </c>
      <c r="F171" s="4" t="s">
        <v>29</v>
      </c>
      <c r="G171" s="4" t="s">
        <v>30</v>
      </c>
      <c r="H171" s="11" t="n">
        <f aca="false">SUMIFS(Rótulos!$G$5:$G$212,Rótulos!$A$5:$A$212,$A171,Rótulos!$B$5:$B$212,$B171,Rótulos!$C$5:$C$212,$C171,Rótulos!$H$5:$H$212,$D171,Rótulos!$I$5:$I$212,$E171,Rótulos!$F$5:$F$212,"B2C")</f>
        <v>0</v>
      </c>
      <c r="I171" s="11" t="n">
        <f aca="false">SUMIFS(Rótulos!$G$5:$G$212,Rótulos!$A$5:$A$212,$A171,Rótulos!$B$5:$B$212,$B171,Rótulos!$C$5:$C$212,$C171,Rótulos!$H$5:$H$212,$D171,Rótulos!$I$5:$I$212,$E171,Rótulos!$F$5:$F$212,"B2B")</f>
        <v>24</v>
      </c>
      <c r="J171" s="12" t="n">
        <f aca="false">H171+I171</f>
        <v>24</v>
      </c>
    </row>
    <row r="172" customFormat="false" ht="15" hidden="false" customHeight="false" outlineLevel="0" collapsed="false">
      <c r="A172" s="4" t="s">
        <v>84</v>
      </c>
      <c r="B172" s="4" t="s">
        <v>29</v>
      </c>
      <c r="C172" s="4" t="n">
        <v>1000</v>
      </c>
      <c r="D172" s="4" t="s">
        <v>24</v>
      </c>
      <c r="E172" s="4" t="s">
        <v>32</v>
      </c>
      <c r="F172" s="4" t="s">
        <v>29</v>
      </c>
      <c r="G172" s="4" t="s">
        <v>30</v>
      </c>
      <c r="H172" s="11" t="n">
        <f aca="false">SUMIFS(Rótulos!$G$5:$G$212,Rótulos!$A$5:$A$212,$A172,Rótulos!$B$5:$B$212,$B172,Rótulos!$C$5:$C$212,$C172,Rótulos!$H$5:$H$212,$D172,Rótulos!$I$5:$I$212,$E172,Rótulos!$F$5:$F$212,"B2C")</f>
        <v>0</v>
      </c>
      <c r="I172" s="11" t="n">
        <f aca="false">SUMIFS(Rótulos!$G$5:$G$212,Rótulos!$A$5:$A$212,$A172,Rótulos!$B$5:$B$212,$B172,Rótulos!$C$5:$C$212,$C172,Rótulos!$H$5:$H$212,$D172,Rótulos!$I$5:$I$212,$E172,Rótulos!$F$5:$F$212,"B2B")</f>
        <v>20</v>
      </c>
      <c r="J172" s="12" t="n">
        <f aca="false">H172+I172</f>
        <v>20</v>
      </c>
    </row>
    <row r="173" customFormat="false" ht="15" hidden="false" customHeight="false" outlineLevel="0" collapsed="false">
      <c r="A173" s="4" t="s">
        <v>84</v>
      </c>
      <c r="B173" s="4" t="s">
        <v>33</v>
      </c>
      <c r="C173" s="4" t="n">
        <v>100</v>
      </c>
      <c r="D173" s="4" t="s">
        <v>24</v>
      </c>
      <c r="E173" s="4" t="s">
        <v>34</v>
      </c>
      <c r="F173" s="4" t="s">
        <v>33</v>
      </c>
      <c r="G173" s="4" t="s">
        <v>30</v>
      </c>
      <c r="H173" s="11" t="n">
        <f aca="false">SUMIFS(Rótulos!$G$5:$G$212,Rótulos!$A$5:$A$212,$A173,Rótulos!$B$5:$B$212,$B173,Rótulos!$C$5:$C$212,$C173,Rótulos!$H$5:$H$212,$D173,Rótulos!$I$5:$I$212,$E173,Rótulos!$F$5:$F$212,"B2C")</f>
        <v>0</v>
      </c>
      <c r="I173" s="11" t="n">
        <f aca="false">SUMIFS(Rótulos!$G$5:$G$212,Rótulos!$A$5:$A$212,$A173,Rótulos!$B$5:$B$212,$B173,Rótulos!$C$5:$C$212,$C173,Rótulos!$H$5:$H$212,$D173,Rótulos!$I$5:$I$212,$E173,Rótulos!$F$5:$F$212,"B2B")</f>
        <v>12</v>
      </c>
      <c r="J173" s="12" t="n">
        <f aca="false">H173+I173</f>
        <v>12</v>
      </c>
    </row>
    <row r="174" customFormat="false" ht="15" hidden="false" customHeight="false" outlineLevel="0" collapsed="false">
      <c r="A174" s="4" t="s">
        <v>84</v>
      </c>
      <c r="B174" s="4" t="s">
        <v>33</v>
      </c>
      <c r="C174" s="4" t="n">
        <v>500</v>
      </c>
      <c r="D174" s="4" t="s">
        <v>24</v>
      </c>
      <c r="E174" s="4" t="s">
        <v>31</v>
      </c>
      <c r="F174" s="4" t="s">
        <v>33</v>
      </c>
      <c r="G174" s="4" t="s">
        <v>30</v>
      </c>
      <c r="H174" s="11" t="n">
        <f aca="false">SUMIFS(Rótulos!$G$5:$G$212,Rótulos!$A$5:$A$212,$A174,Rótulos!$B$5:$B$212,$B174,Rótulos!$C$5:$C$212,$C174,Rótulos!$H$5:$H$212,$D174,Rótulos!$I$5:$I$212,$E174,Rótulos!$F$5:$F$212,"B2C")</f>
        <v>0</v>
      </c>
      <c r="I174" s="11" t="n">
        <f aca="false">SUMIFS(Rótulos!$G$5:$G$212,Rótulos!$A$5:$A$212,$A174,Rótulos!$B$5:$B$212,$B174,Rótulos!$C$5:$C$212,$C174,Rótulos!$H$5:$H$212,$D174,Rótulos!$I$5:$I$212,$E174,Rótulos!$F$5:$F$212,"B2B")</f>
        <v>40</v>
      </c>
      <c r="J174" s="12" t="n">
        <f aca="false">H174+I174</f>
        <v>40</v>
      </c>
    </row>
    <row r="175" customFormat="false" ht="15" hidden="false" customHeight="false" outlineLevel="0" collapsed="false">
      <c r="A175" s="4" t="s">
        <v>85</v>
      </c>
      <c r="B175" s="4" t="s">
        <v>12</v>
      </c>
      <c r="C175" s="4" t="n">
        <v>15</v>
      </c>
      <c r="D175" s="4" t="s">
        <v>16</v>
      </c>
      <c r="E175" s="4" t="s">
        <v>17</v>
      </c>
      <c r="F175" s="4" t="s">
        <v>14</v>
      </c>
      <c r="G175" s="4" t="s">
        <v>15</v>
      </c>
      <c r="H175" s="11" t="n">
        <f aca="false">SUMIFS(Rótulos!$G$5:$G$212,Rótulos!$A$5:$A$212,$A175,Rótulos!$B$5:$B$212,$B175,Rótulos!$C$5:$C$212,$C175,Rótulos!$H$5:$H$212,$D175,Rótulos!$I$5:$I$212,$E175,Rótulos!$F$5:$F$212,"B2C")</f>
        <v>200</v>
      </c>
      <c r="I175" s="11" t="n">
        <f aca="false">SUMIFS(Rótulos!$G$5:$G$212,Rótulos!$A$5:$A$212,$A175,Rótulos!$B$5:$B$212,$B175,Rótulos!$C$5:$C$212,$C175,Rótulos!$H$5:$H$212,$D175,Rótulos!$I$5:$I$212,$E175,Rótulos!$F$5:$F$212,"B2B")</f>
        <v>0</v>
      </c>
      <c r="J175" s="12" t="n">
        <f aca="false">H175+I175</f>
        <v>200</v>
      </c>
    </row>
    <row r="176" customFormat="false" ht="15" hidden="false" customHeight="false" outlineLevel="0" collapsed="false">
      <c r="A176" s="4" t="s">
        <v>85</v>
      </c>
      <c r="B176" s="4" t="s">
        <v>18</v>
      </c>
      <c r="C176" s="4" t="n">
        <v>250</v>
      </c>
      <c r="D176" s="4" t="s">
        <v>16</v>
      </c>
      <c r="E176" s="4" t="s">
        <v>21</v>
      </c>
      <c r="F176" s="4" t="s">
        <v>117</v>
      </c>
      <c r="G176" s="4" t="s">
        <v>15</v>
      </c>
      <c r="H176" s="11" t="n">
        <f aca="false">SUMIFS(Rótulos!$G$5:$G$212,Rótulos!$A$5:$A$212,$A176,Rótulos!$B$5:$B$212,$B176,Rótulos!$C$5:$C$212,$C176,Rótulos!$H$5:$H$212,$D176,Rótulos!$I$5:$I$212,$E176,Rótulos!$F$5:$F$212,"B2C")</f>
        <v>36</v>
      </c>
      <c r="I176" s="11" t="n">
        <f aca="false">SUMIFS(Rótulos!$G$5:$G$212,Rótulos!$A$5:$A$212,$A176,Rótulos!$B$5:$B$212,$B176,Rótulos!$C$5:$C$212,$C176,Rótulos!$H$5:$H$212,$D176,Rótulos!$I$5:$I$212,$E176,Rótulos!$F$5:$F$212,"B2B")</f>
        <v>0</v>
      </c>
      <c r="J176" s="12" t="n">
        <f aca="false">H176+I176</f>
        <v>36</v>
      </c>
    </row>
    <row r="177" customFormat="false" ht="15" hidden="false" customHeight="false" outlineLevel="0" collapsed="false">
      <c r="A177" s="4" t="s">
        <v>85</v>
      </c>
      <c r="B177" s="4" t="s">
        <v>18</v>
      </c>
      <c r="C177" s="4" t="n">
        <v>250</v>
      </c>
      <c r="D177" s="4" t="s">
        <v>24</v>
      </c>
      <c r="E177" s="4" t="s">
        <v>25</v>
      </c>
      <c r="F177" s="4" t="s">
        <v>23</v>
      </c>
      <c r="G177" s="4" t="s">
        <v>15</v>
      </c>
      <c r="H177" s="11" t="n">
        <f aca="false">SUMIFS(Rótulos!$G$5:$G$212,Rótulos!$A$5:$A$212,$A177,Rótulos!$B$5:$B$212,$B177,Rótulos!$C$5:$C$212,$C177,Rótulos!$H$5:$H$212,$D177,Rótulos!$I$5:$I$212,$E177,Rótulos!$F$5:$F$212,"B2C")</f>
        <v>12</v>
      </c>
      <c r="I177" s="11" t="n">
        <f aca="false">SUMIFS(Rótulos!$G$5:$G$212,Rótulos!$A$5:$A$212,$A177,Rótulos!$B$5:$B$212,$B177,Rótulos!$C$5:$C$212,$C177,Rótulos!$H$5:$H$212,$D177,Rótulos!$I$5:$I$212,$E177,Rótulos!$F$5:$F$212,"B2B")</f>
        <v>0</v>
      </c>
      <c r="J177" s="12" t="n">
        <f aca="false">H177+I177</f>
        <v>12</v>
      </c>
    </row>
    <row r="178" customFormat="false" ht="15" hidden="false" customHeight="false" outlineLevel="0" collapsed="false">
      <c r="A178" s="4" t="s">
        <v>86</v>
      </c>
      <c r="B178" s="4" t="s">
        <v>29</v>
      </c>
      <c r="C178" s="4" t="n">
        <v>400</v>
      </c>
      <c r="D178" s="4" t="s">
        <v>24</v>
      </c>
      <c r="E178" s="4" t="s">
        <v>31</v>
      </c>
      <c r="F178" s="4" t="s">
        <v>29</v>
      </c>
      <c r="G178" s="4" t="s">
        <v>30</v>
      </c>
      <c r="H178" s="11" t="n">
        <f aca="false">SUMIFS(Rótulos!$G$5:$G$212,Rótulos!$A$5:$A$212,$A178,Rótulos!$B$5:$B$212,$B178,Rótulos!$C$5:$C$212,$C178,Rótulos!$H$5:$H$212,$D178,Rótulos!$I$5:$I$212,$E178,Rótulos!$F$5:$F$212,"B2C")</f>
        <v>0</v>
      </c>
      <c r="I178" s="11" t="n">
        <f aca="false">SUMIFS(Rótulos!$G$5:$G$212,Rótulos!$A$5:$A$212,$A178,Rótulos!$B$5:$B$212,$B178,Rótulos!$C$5:$C$212,$C178,Rótulos!$H$5:$H$212,$D178,Rótulos!$I$5:$I$212,$E178,Rótulos!$F$5:$F$212,"B2B")</f>
        <v>101</v>
      </c>
      <c r="J178" s="12" t="n">
        <f aca="false">H178+I178</f>
        <v>101</v>
      </c>
    </row>
    <row r="179" customFormat="false" ht="15" hidden="false" customHeight="false" outlineLevel="0" collapsed="false">
      <c r="A179" s="4" t="s">
        <v>86</v>
      </c>
      <c r="B179" s="4" t="s">
        <v>33</v>
      </c>
      <c r="C179" s="4" t="n">
        <v>500</v>
      </c>
      <c r="D179" s="4" t="s">
        <v>24</v>
      </c>
      <c r="E179" s="4" t="s">
        <v>31</v>
      </c>
      <c r="F179" s="4" t="s">
        <v>33</v>
      </c>
      <c r="G179" s="4" t="s">
        <v>30</v>
      </c>
      <c r="H179" s="11" t="n">
        <f aca="false">SUMIFS(Rótulos!$G$5:$G$212,Rótulos!$A$5:$A$212,$A179,Rótulos!$B$5:$B$212,$B179,Rótulos!$C$5:$C$212,$C179,Rótulos!$H$5:$H$212,$D179,Rótulos!$I$5:$I$212,$E179,Rótulos!$F$5:$F$212,"B2C")</f>
        <v>0</v>
      </c>
      <c r="I179" s="11" t="n">
        <f aca="false">SUMIFS(Rótulos!$G$5:$G$212,Rótulos!$A$5:$A$212,$A179,Rótulos!$B$5:$B$212,$B179,Rótulos!$C$5:$C$212,$C179,Rótulos!$H$5:$H$212,$D179,Rótulos!$I$5:$I$212,$E179,Rótulos!$F$5:$F$212,"B2B")</f>
        <v>10</v>
      </c>
      <c r="J179" s="12" t="n">
        <f aca="false">H179+I179</f>
        <v>10</v>
      </c>
    </row>
    <row r="180" customFormat="false" ht="15" hidden="false" customHeight="false" outlineLevel="0" collapsed="false">
      <c r="A180" s="4" t="s">
        <v>87</v>
      </c>
      <c r="B180" s="4" t="s">
        <v>29</v>
      </c>
      <c r="C180" s="4" t="n">
        <v>400</v>
      </c>
      <c r="D180" s="4" t="s">
        <v>24</v>
      </c>
      <c r="E180" s="4" t="s">
        <v>31</v>
      </c>
      <c r="F180" s="4" t="s">
        <v>29</v>
      </c>
      <c r="G180" s="4" t="s">
        <v>30</v>
      </c>
      <c r="H180" s="11" t="n">
        <f aca="false">SUMIFS(Rótulos!$G$5:$G$212,Rótulos!$A$5:$A$212,$A180,Rótulos!$B$5:$B$212,$B180,Rótulos!$C$5:$C$212,$C180,Rótulos!$H$5:$H$212,$D180,Rótulos!$I$5:$I$212,$E180,Rótulos!$F$5:$F$212,"B2C")</f>
        <v>0</v>
      </c>
      <c r="I180" s="11" t="n">
        <f aca="false">SUMIFS(Rótulos!$G$5:$G$212,Rótulos!$A$5:$A$212,$A180,Rótulos!$B$5:$B$212,$B180,Rótulos!$C$5:$C$212,$C180,Rótulos!$H$5:$H$212,$D180,Rótulos!$I$5:$I$212,$E180,Rótulos!$F$5:$F$212,"B2B")</f>
        <v>2</v>
      </c>
      <c r="J180" s="12" t="n">
        <f aca="false">H180+I180</f>
        <v>2</v>
      </c>
    </row>
    <row r="181" customFormat="false" ht="15" hidden="false" customHeight="false" outlineLevel="0" collapsed="false">
      <c r="A181" s="4" t="s">
        <v>87</v>
      </c>
      <c r="B181" s="4" t="s">
        <v>33</v>
      </c>
      <c r="C181" s="4" t="n">
        <v>100</v>
      </c>
      <c r="D181" s="4" t="s">
        <v>24</v>
      </c>
      <c r="E181" s="4" t="s">
        <v>34</v>
      </c>
      <c r="F181" s="4" t="s">
        <v>33</v>
      </c>
      <c r="G181" s="4" t="s">
        <v>30</v>
      </c>
      <c r="H181" s="11" t="n">
        <f aca="false">SUMIFS(Rótulos!$G$5:$G$212,Rótulos!$A$5:$A$212,$A181,Rótulos!$B$5:$B$212,$B181,Rótulos!$C$5:$C$212,$C181,Rótulos!$H$5:$H$212,$D181,Rótulos!$I$5:$I$212,$E181,Rótulos!$F$5:$F$212,"B2C")</f>
        <v>0</v>
      </c>
      <c r="I181" s="11" t="n">
        <f aca="false">SUMIFS(Rótulos!$G$5:$G$212,Rótulos!$A$5:$A$212,$A181,Rótulos!$B$5:$B$212,$B181,Rótulos!$C$5:$C$212,$C181,Rótulos!$H$5:$H$212,$D181,Rótulos!$I$5:$I$212,$E181,Rótulos!$F$5:$F$212,"B2B")</f>
        <v>2</v>
      </c>
      <c r="J181" s="12" t="n">
        <f aca="false">H181+I181</f>
        <v>2</v>
      </c>
    </row>
    <row r="182" customFormat="false" ht="15" hidden="false" customHeight="false" outlineLevel="0" collapsed="false">
      <c r="A182" s="4" t="s">
        <v>88</v>
      </c>
      <c r="B182" s="4" t="s">
        <v>12</v>
      </c>
      <c r="C182" s="4" t="n">
        <v>15</v>
      </c>
      <c r="D182" s="4" t="s">
        <v>16</v>
      </c>
      <c r="E182" s="4" t="s">
        <v>17</v>
      </c>
      <c r="F182" s="4" t="s">
        <v>14</v>
      </c>
      <c r="G182" s="4" t="s">
        <v>15</v>
      </c>
      <c r="H182" s="11" t="n">
        <f aca="false">SUMIFS(Rótulos!$G$5:$G$212,Rótulos!$A$5:$A$212,$A182,Rótulos!$B$5:$B$212,$B182,Rótulos!$C$5:$C$212,$C182,Rótulos!$H$5:$H$212,$D182,Rótulos!$I$5:$I$212,$E182,Rótulos!$F$5:$F$212,"B2C")</f>
        <v>200</v>
      </c>
      <c r="I182" s="11" t="n">
        <f aca="false">SUMIFS(Rótulos!$G$5:$G$212,Rótulos!$A$5:$A$212,$A182,Rótulos!$B$5:$B$212,$B182,Rótulos!$C$5:$C$212,$C182,Rótulos!$H$5:$H$212,$D182,Rótulos!$I$5:$I$212,$E182,Rótulos!$F$5:$F$212,"B2B")</f>
        <v>0</v>
      </c>
      <c r="J182" s="12" t="n">
        <f aca="false">H182+I182</f>
        <v>200</v>
      </c>
    </row>
    <row r="183" customFormat="false" ht="15" hidden="false" customHeight="false" outlineLevel="0" collapsed="false">
      <c r="A183" s="4" t="s">
        <v>88</v>
      </c>
      <c r="B183" s="4" t="s">
        <v>18</v>
      </c>
      <c r="C183" s="4" t="n">
        <v>250</v>
      </c>
      <c r="D183" s="4" t="s">
        <v>16</v>
      </c>
      <c r="E183" s="4" t="s">
        <v>21</v>
      </c>
      <c r="F183" s="4" t="s">
        <v>117</v>
      </c>
      <c r="G183" s="4" t="s">
        <v>15</v>
      </c>
      <c r="H183" s="11" t="n">
        <f aca="false">SUMIFS(Rótulos!$G$5:$G$212,Rótulos!$A$5:$A$212,$A183,Rótulos!$B$5:$B$212,$B183,Rótulos!$C$5:$C$212,$C183,Rótulos!$H$5:$H$212,$D183,Rótulos!$I$5:$I$212,$E183,Rótulos!$F$5:$F$212,"B2C")</f>
        <v>36</v>
      </c>
      <c r="I183" s="11" t="n">
        <f aca="false">SUMIFS(Rótulos!$G$5:$G$212,Rótulos!$A$5:$A$212,$A183,Rótulos!$B$5:$B$212,$B183,Rótulos!$C$5:$C$212,$C183,Rótulos!$H$5:$H$212,$D183,Rótulos!$I$5:$I$212,$E183,Rótulos!$F$5:$F$212,"B2B")</f>
        <v>0</v>
      </c>
      <c r="J183" s="12" t="n">
        <f aca="false">H183+I183</f>
        <v>36</v>
      </c>
    </row>
    <row r="184" customFormat="false" ht="15" hidden="false" customHeight="false" outlineLevel="0" collapsed="false">
      <c r="A184" s="4" t="s">
        <v>88</v>
      </c>
      <c r="B184" s="4" t="s">
        <v>18</v>
      </c>
      <c r="C184" s="4" t="n">
        <v>250</v>
      </c>
      <c r="D184" s="4" t="s">
        <v>24</v>
      </c>
      <c r="E184" s="4" t="s">
        <v>25</v>
      </c>
      <c r="F184" s="4" t="s">
        <v>23</v>
      </c>
      <c r="G184" s="4" t="s">
        <v>15</v>
      </c>
      <c r="H184" s="11" t="n">
        <f aca="false">SUMIFS(Rótulos!$G$5:$G$212,Rótulos!$A$5:$A$212,$A184,Rótulos!$B$5:$B$212,$B184,Rótulos!$C$5:$C$212,$C184,Rótulos!$H$5:$H$212,$D184,Rótulos!$I$5:$I$212,$E184,Rótulos!$F$5:$F$212,"B2C")</f>
        <v>12</v>
      </c>
      <c r="I184" s="11" t="n">
        <f aca="false">SUMIFS(Rótulos!$G$5:$G$212,Rótulos!$A$5:$A$212,$A184,Rótulos!$B$5:$B$212,$B184,Rótulos!$C$5:$C$212,$C184,Rótulos!$H$5:$H$212,$D184,Rótulos!$I$5:$I$212,$E184,Rótulos!$F$5:$F$212,"B2B")</f>
        <v>0</v>
      </c>
      <c r="J184" s="12" t="n">
        <f aca="false">H184+I184</f>
        <v>12</v>
      </c>
    </row>
    <row r="185" customFormat="false" ht="15" hidden="false" customHeight="false" outlineLevel="0" collapsed="false">
      <c r="A185" s="4" t="s">
        <v>89</v>
      </c>
      <c r="B185" s="4" t="s">
        <v>12</v>
      </c>
      <c r="C185" s="4" t="n">
        <v>15</v>
      </c>
      <c r="D185" s="4" t="s">
        <v>16</v>
      </c>
      <c r="E185" s="4" t="s">
        <v>17</v>
      </c>
      <c r="F185" s="4" t="s">
        <v>14</v>
      </c>
      <c r="G185" s="4" t="s">
        <v>15</v>
      </c>
      <c r="H185" s="11" t="n">
        <f aca="false">SUMIFS(Rótulos!$G$5:$G$212,Rótulos!$A$5:$A$212,$A185,Rótulos!$B$5:$B$212,$B185,Rótulos!$C$5:$C$212,$C185,Rótulos!$H$5:$H$212,$D185,Rótulos!$I$5:$I$212,$E185,Rótulos!$F$5:$F$212,"B2C")</f>
        <v>200</v>
      </c>
      <c r="I185" s="11" t="n">
        <f aca="false">SUMIFS(Rótulos!$G$5:$G$212,Rótulos!$A$5:$A$212,$A185,Rótulos!$B$5:$B$212,$B185,Rótulos!$C$5:$C$212,$C185,Rótulos!$H$5:$H$212,$D185,Rótulos!$I$5:$I$212,$E185,Rótulos!$F$5:$F$212,"B2B")</f>
        <v>0</v>
      </c>
      <c r="J185" s="12" t="n">
        <f aca="false">H185+I185</f>
        <v>200</v>
      </c>
    </row>
    <row r="186" customFormat="false" ht="15" hidden="false" customHeight="false" outlineLevel="0" collapsed="false">
      <c r="A186" s="4" t="s">
        <v>89</v>
      </c>
      <c r="B186" s="4" t="s">
        <v>18</v>
      </c>
      <c r="C186" s="4" t="n">
        <v>250</v>
      </c>
      <c r="D186" s="4" t="s">
        <v>16</v>
      </c>
      <c r="E186" s="4" t="s">
        <v>21</v>
      </c>
      <c r="F186" s="4" t="s">
        <v>117</v>
      </c>
      <c r="G186" s="4" t="s">
        <v>15</v>
      </c>
      <c r="H186" s="11" t="n">
        <f aca="false">SUMIFS(Rótulos!$G$5:$G$212,Rótulos!$A$5:$A$212,$A186,Rótulos!$B$5:$B$212,$B186,Rótulos!$C$5:$C$212,$C186,Rótulos!$H$5:$H$212,$D186,Rótulos!$I$5:$I$212,$E186,Rótulos!$F$5:$F$212,"B2C")</f>
        <v>36</v>
      </c>
      <c r="I186" s="11" t="n">
        <f aca="false">SUMIFS(Rótulos!$G$5:$G$212,Rótulos!$A$5:$A$212,$A186,Rótulos!$B$5:$B$212,$B186,Rótulos!$C$5:$C$212,$C186,Rótulos!$H$5:$H$212,$D186,Rótulos!$I$5:$I$212,$E186,Rótulos!$F$5:$F$212,"B2B")</f>
        <v>0</v>
      </c>
      <c r="J186" s="12" t="n">
        <f aca="false">H186+I186</f>
        <v>36</v>
      </c>
    </row>
    <row r="187" customFormat="false" ht="15" hidden="false" customHeight="false" outlineLevel="0" collapsed="false">
      <c r="A187" s="4" t="s">
        <v>89</v>
      </c>
      <c r="B187" s="4" t="s">
        <v>18</v>
      </c>
      <c r="C187" s="4" t="n">
        <v>250</v>
      </c>
      <c r="D187" s="4" t="s">
        <v>24</v>
      </c>
      <c r="E187" s="4" t="s">
        <v>25</v>
      </c>
      <c r="F187" s="4" t="s">
        <v>23</v>
      </c>
      <c r="G187" s="4" t="s">
        <v>15</v>
      </c>
      <c r="H187" s="11" t="n">
        <f aca="false">SUMIFS(Rótulos!$G$5:$G$212,Rótulos!$A$5:$A$212,$A187,Rótulos!$B$5:$B$212,$B187,Rótulos!$C$5:$C$212,$C187,Rótulos!$H$5:$H$212,$D187,Rótulos!$I$5:$I$212,$E187,Rótulos!$F$5:$F$212,"B2C")</f>
        <v>12</v>
      </c>
      <c r="I187" s="11" t="n">
        <f aca="false">SUMIFS(Rótulos!$G$5:$G$212,Rótulos!$A$5:$A$212,$A187,Rótulos!$B$5:$B$212,$B187,Rótulos!$C$5:$C$212,$C187,Rótulos!$H$5:$H$212,$D187,Rótulos!$I$5:$I$212,$E187,Rótulos!$F$5:$F$212,"B2B")</f>
        <v>0</v>
      </c>
      <c r="J187" s="12" t="n">
        <f aca="false">H187+I187</f>
        <v>12</v>
      </c>
    </row>
    <row r="188" customFormat="false" ht="15" hidden="false" customHeight="false" outlineLevel="0" collapsed="false">
      <c r="A188" s="4" t="s">
        <v>90</v>
      </c>
      <c r="B188" s="4" t="s">
        <v>29</v>
      </c>
      <c r="C188" s="4" t="n">
        <v>400</v>
      </c>
      <c r="D188" s="4" t="s">
        <v>24</v>
      </c>
      <c r="E188" s="4" t="s">
        <v>31</v>
      </c>
      <c r="F188" s="4" t="s">
        <v>29</v>
      </c>
      <c r="G188" s="4" t="s">
        <v>30</v>
      </c>
      <c r="H188" s="11" t="n">
        <f aca="false">SUMIFS(Rótulos!$G$5:$G$212,Rótulos!$A$5:$A$212,$A188,Rótulos!$B$5:$B$212,$B188,Rótulos!$C$5:$C$212,$C188,Rótulos!$H$5:$H$212,$D188,Rótulos!$I$5:$I$212,$E188,Rótulos!$F$5:$F$212,"B2C")</f>
        <v>0</v>
      </c>
      <c r="I188" s="11" t="n">
        <f aca="false">SUMIFS(Rótulos!$G$5:$G$212,Rótulos!$A$5:$A$212,$A188,Rótulos!$B$5:$B$212,$B188,Rótulos!$C$5:$C$212,$C188,Rótulos!$H$5:$H$212,$D188,Rótulos!$I$5:$I$212,$E188,Rótulos!$F$5:$F$212,"B2B")</f>
        <v>63</v>
      </c>
      <c r="J188" s="12" t="n">
        <f aca="false">H188+I188</f>
        <v>63</v>
      </c>
    </row>
    <row r="189" customFormat="false" ht="15" hidden="false" customHeight="false" outlineLevel="0" collapsed="false">
      <c r="A189" s="4" t="s">
        <v>90</v>
      </c>
      <c r="B189" s="4" t="s">
        <v>33</v>
      </c>
      <c r="C189" s="4" t="n">
        <v>100</v>
      </c>
      <c r="D189" s="4" t="s">
        <v>24</v>
      </c>
      <c r="E189" s="4" t="s">
        <v>34</v>
      </c>
      <c r="F189" s="4" t="s">
        <v>33</v>
      </c>
      <c r="G189" s="4" t="s">
        <v>30</v>
      </c>
      <c r="H189" s="11" t="n">
        <f aca="false">SUMIFS(Rótulos!$G$5:$G$212,Rótulos!$A$5:$A$212,$A189,Rótulos!$B$5:$B$212,$B189,Rótulos!$C$5:$C$212,$C189,Rótulos!$H$5:$H$212,$D189,Rótulos!$I$5:$I$212,$E189,Rótulos!$F$5:$F$212,"B2C")</f>
        <v>0</v>
      </c>
      <c r="I189" s="11" t="n">
        <f aca="false">SUMIFS(Rótulos!$G$5:$G$212,Rótulos!$A$5:$A$212,$A189,Rótulos!$B$5:$B$212,$B189,Rótulos!$C$5:$C$212,$C189,Rótulos!$H$5:$H$212,$D189,Rótulos!$I$5:$I$212,$E189,Rótulos!$F$5:$F$212,"B2B")</f>
        <v>48</v>
      </c>
      <c r="J189" s="12" t="n">
        <f aca="false">H189+I189</f>
        <v>48</v>
      </c>
    </row>
    <row r="190" customFormat="false" ht="15" hidden="false" customHeight="false" outlineLevel="0" collapsed="false">
      <c r="A190" s="4" t="s">
        <v>91</v>
      </c>
      <c r="B190" s="4" t="s">
        <v>12</v>
      </c>
      <c r="C190" s="4" t="n">
        <v>15</v>
      </c>
      <c r="D190" s="4" t="s">
        <v>16</v>
      </c>
      <c r="E190" s="4" t="s">
        <v>17</v>
      </c>
      <c r="F190" s="4" t="s">
        <v>14</v>
      </c>
      <c r="G190" s="4" t="s">
        <v>15</v>
      </c>
      <c r="H190" s="11" t="n">
        <f aca="false">SUMIFS(Rótulos!$G$5:$G$212,Rótulos!$A$5:$A$212,$A190,Rótulos!$B$5:$B$212,$B190,Rótulos!$C$5:$C$212,$C190,Rótulos!$H$5:$H$212,$D190,Rótulos!$I$5:$I$212,$E190,Rótulos!$F$5:$F$212,"B2C")</f>
        <v>200</v>
      </c>
      <c r="I190" s="11" t="n">
        <f aca="false">SUMIFS(Rótulos!$G$5:$G$212,Rótulos!$A$5:$A$212,$A190,Rótulos!$B$5:$B$212,$B190,Rótulos!$C$5:$C$212,$C190,Rótulos!$H$5:$H$212,$D190,Rótulos!$I$5:$I$212,$E190,Rótulos!$F$5:$F$212,"B2B")</f>
        <v>0</v>
      </c>
      <c r="J190" s="12" t="n">
        <f aca="false">H190+I190</f>
        <v>200</v>
      </c>
    </row>
    <row r="191" customFormat="false" ht="15" hidden="false" customHeight="false" outlineLevel="0" collapsed="false">
      <c r="A191" s="4" t="s">
        <v>91</v>
      </c>
      <c r="B191" s="4" t="s">
        <v>18</v>
      </c>
      <c r="C191" s="4" t="n">
        <v>250</v>
      </c>
      <c r="D191" s="4" t="s">
        <v>16</v>
      </c>
      <c r="E191" s="4" t="s">
        <v>21</v>
      </c>
      <c r="F191" s="4" t="s">
        <v>117</v>
      </c>
      <c r="G191" s="4" t="s">
        <v>15</v>
      </c>
      <c r="H191" s="11" t="n">
        <f aca="false">SUMIFS(Rótulos!$G$5:$G$212,Rótulos!$A$5:$A$212,$A191,Rótulos!$B$5:$B$212,$B191,Rótulos!$C$5:$C$212,$C191,Rótulos!$H$5:$H$212,$D191,Rótulos!$I$5:$I$212,$E191,Rótulos!$F$5:$F$212,"B2C")</f>
        <v>36</v>
      </c>
      <c r="I191" s="11" t="n">
        <f aca="false">SUMIFS(Rótulos!$G$5:$G$212,Rótulos!$A$5:$A$212,$A191,Rótulos!$B$5:$B$212,$B191,Rótulos!$C$5:$C$212,$C191,Rótulos!$H$5:$H$212,$D191,Rótulos!$I$5:$I$212,$E191,Rótulos!$F$5:$F$212,"B2B")</f>
        <v>0</v>
      </c>
      <c r="J191" s="12" t="n">
        <f aca="false">H191+I191</f>
        <v>36</v>
      </c>
    </row>
    <row r="192" customFormat="false" ht="15" hidden="false" customHeight="false" outlineLevel="0" collapsed="false">
      <c r="A192" s="4" t="s">
        <v>91</v>
      </c>
      <c r="B192" s="4" t="s">
        <v>18</v>
      </c>
      <c r="C192" s="4" t="n">
        <v>250</v>
      </c>
      <c r="D192" s="4" t="s">
        <v>24</v>
      </c>
      <c r="E192" s="4" t="s">
        <v>25</v>
      </c>
      <c r="F192" s="4" t="s">
        <v>23</v>
      </c>
      <c r="G192" s="4" t="s">
        <v>15</v>
      </c>
      <c r="H192" s="11" t="n">
        <f aca="false">SUMIFS(Rótulos!$G$5:$G$212,Rótulos!$A$5:$A$212,$A192,Rótulos!$B$5:$B$212,$B192,Rótulos!$C$5:$C$212,$C192,Rótulos!$H$5:$H$212,$D192,Rótulos!$I$5:$I$212,$E192,Rótulos!$F$5:$F$212,"B2C")</f>
        <v>12</v>
      </c>
      <c r="I192" s="11" t="n">
        <f aca="false">SUMIFS(Rótulos!$G$5:$G$212,Rótulos!$A$5:$A$212,$A192,Rótulos!$B$5:$B$212,$B192,Rótulos!$C$5:$C$212,$C192,Rótulos!$H$5:$H$212,$D192,Rótulos!$I$5:$I$212,$E192,Rótulos!$F$5:$F$212,"B2B")</f>
        <v>0</v>
      </c>
      <c r="J192" s="12" t="n">
        <f aca="false">H192+I192</f>
        <v>12</v>
      </c>
    </row>
    <row r="194" customFormat="false" ht="15" hidden="false" customHeight="false" outlineLevel="0" collapsed="false">
      <c r="G194" s="9" t="s">
        <v>92</v>
      </c>
      <c r="H194" s="10" t="n">
        <f aca="false">SUBTOTAL(9,H5:H192)</f>
        <v>4436</v>
      </c>
      <c r="I194" s="10" t="n">
        <f aca="false">SUBTOTAL(9,I5:I192)</f>
        <v>3896</v>
      </c>
      <c r="J194" s="10" t="n">
        <f aca="false">SUBTOTAL(9,J5:J192)</f>
        <v>8332</v>
      </c>
    </row>
    <row r="195" customFormat="false" ht="15" hidden="false" customHeight="false" outlineLevel="0" collapsed="false">
      <c r="A195" s="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7" min="4" style="0" width="10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30" hidden="false" customHeight="true" outlineLevel="0" collapsed="false">
      <c r="A4" s="3" t="s">
        <v>123</v>
      </c>
      <c r="B4" s="3" t="s">
        <v>4</v>
      </c>
      <c r="C4" s="3" t="s">
        <v>10</v>
      </c>
      <c r="D4" s="3" t="s">
        <v>124</v>
      </c>
      <c r="E4" s="3" t="s">
        <v>15</v>
      </c>
      <c r="F4" s="3" t="s">
        <v>30</v>
      </c>
      <c r="G4" s="3" t="s">
        <v>107</v>
      </c>
    </row>
    <row r="5" customFormat="false" ht="15" hidden="false" customHeight="false" outlineLevel="0" collapsed="false">
      <c r="A5" s="15" t="s">
        <v>16</v>
      </c>
      <c r="B5" s="15" t="n">
        <v>15</v>
      </c>
      <c r="C5" s="15" t="s">
        <v>17</v>
      </c>
      <c r="D5" s="15" t="n">
        <f aca="false">COUNTIFS(Rótulos!$H$5:$H$212,$A5,Rótulos!$C$5:$C$212,$B5,Rótulos!$I$5:$I$212,$C5)</f>
        <v>24</v>
      </c>
      <c r="E5" s="15" t="n">
        <f aca="false">SUMIFS(Rótulos!$G$5:$G$212,Rótulos!$H$5:$H$212,$A5,Rótulos!$C$5:$C$212,$B5,Rótulos!$I$5:$I$212,$C5,Rótulos!$F$5:$F$212,"B2C")</f>
        <v>3400</v>
      </c>
      <c r="F5" s="15" t="n">
        <f aca="false">SUMIFS(Rótulos!$G$5:$G$212,Rótulos!$H$5:$H$212,$A5,Rótulos!$C$5:$C$212,$B5,Rótulos!$I$5:$I$212,$C5,Rótulos!$F$5:$F$212,"B2B")</f>
        <v>0</v>
      </c>
      <c r="G5" s="15" t="n">
        <f aca="false">E5+F5</f>
        <v>3400</v>
      </c>
    </row>
    <row r="6" customFormat="false" ht="15" hidden="false" customHeight="false" outlineLevel="0" collapsed="false">
      <c r="A6" s="15" t="s">
        <v>16</v>
      </c>
      <c r="B6" s="15" t="n">
        <v>250</v>
      </c>
      <c r="C6" s="15" t="s">
        <v>21</v>
      </c>
      <c r="D6" s="15" t="n">
        <f aca="false">COUNTIFS(Rótulos!$H$5:$H$212,$A6,Rótulos!$C$5:$C$212,$B6,Rótulos!$I$5:$I$212,$C6)</f>
        <v>34</v>
      </c>
      <c r="E6" s="15" t="n">
        <f aca="false">SUMIFS(Rótulos!$G$5:$G$212,Rótulos!$H$5:$H$212,$A6,Rótulos!$C$5:$C$212,$B6,Rótulos!$I$5:$I$212,$C6,Rótulos!$F$5:$F$212,"B2C")</f>
        <v>472</v>
      </c>
      <c r="F6" s="15" t="n">
        <f aca="false">SUMIFS(Rótulos!$G$5:$G$212,Rótulos!$H$5:$H$212,$A6,Rótulos!$C$5:$C$212,$B6,Rótulos!$I$5:$I$212,$C6,Rótulos!$F$5:$F$212,"B2B")</f>
        <v>0</v>
      </c>
      <c r="G6" s="15" t="n">
        <f aca="false">E6+F6</f>
        <v>472</v>
      </c>
    </row>
    <row r="7" customFormat="false" ht="15" hidden="false" customHeight="false" outlineLevel="0" collapsed="false">
      <c r="A7" s="15" t="s">
        <v>24</v>
      </c>
      <c r="B7" s="15" t="n">
        <v>100</v>
      </c>
      <c r="C7" s="15" t="s">
        <v>34</v>
      </c>
      <c r="D7" s="15" t="n">
        <f aca="false">COUNTIFS(Rótulos!$H$5:$H$212,$A7,Rótulos!$C$5:$C$212,$B7,Rótulos!$I$5:$I$212,$C7)</f>
        <v>31</v>
      </c>
      <c r="E7" s="15" t="n">
        <f aca="false">SUMIFS(Rótulos!$G$5:$G$212,Rótulos!$H$5:$H$212,$A7,Rótulos!$C$5:$C$212,$B7,Rótulos!$I$5:$I$212,$C7,Rótulos!$F$5:$F$212,"B2C")</f>
        <v>360</v>
      </c>
      <c r="F7" s="15" t="n">
        <f aca="false">SUMIFS(Rótulos!$G$5:$G$212,Rótulos!$H$5:$H$212,$A7,Rótulos!$C$5:$C$212,$B7,Rótulos!$I$5:$I$212,$C7,Rótulos!$F$5:$F$212,"B2B")</f>
        <v>1307</v>
      </c>
      <c r="G7" s="15" t="n">
        <f aca="false">E7+F7</f>
        <v>1667</v>
      </c>
    </row>
    <row r="8" customFormat="false" ht="15" hidden="false" customHeight="false" outlineLevel="0" collapsed="false">
      <c r="A8" s="15" t="s">
        <v>24</v>
      </c>
      <c r="B8" s="15" t="n">
        <v>150</v>
      </c>
      <c r="C8" s="15" t="s">
        <v>25</v>
      </c>
      <c r="D8" s="15" t="n">
        <f aca="false">COUNTIFS(Rótulos!$H$5:$H$212,$A8,Rótulos!$C$5:$C$212,$B8,Rótulos!$I$5:$I$212,$C8)</f>
        <v>6</v>
      </c>
      <c r="E8" s="15" t="n">
        <f aca="false">SUMIFS(Rótulos!$G$5:$G$212,Rótulos!$H$5:$H$212,$A8,Rótulos!$C$5:$C$212,$B8,Rótulos!$I$5:$I$212,$C8,Rótulos!$F$5:$F$212,"B2C")</f>
        <v>0</v>
      </c>
      <c r="F8" s="15" t="n">
        <f aca="false">SUMIFS(Rótulos!$G$5:$G$212,Rótulos!$H$5:$H$212,$A8,Rótulos!$C$5:$C$212,$B8,Rótulos!$I$5:$I$212,$C8,Rótulos!$F$5:$F$212,"B2B")</f>
        <v>63</v>
      </c>
      <c r="G8" s="15" t="n">
        <f aca="false">E8+F8</f>
        <v>63</v>
      </c>
    </row>
    <row r="9" customFormat="false" ht="15" hidden="false" customHeight="false" outlineLevel="0" collapsed="false">
      <c r="A9" s="15" t="s">
        <v>24</v>
      </c>
      <c r="B9" s="15" t="n">
        <v>160</v>
      </c>
      <c r="C9" s="15" t="s">
        <v>106</v>
      </c>
      <c r="D9" s="15" t="n">
        <f aca="false">SUMPRODUCT((Rótulos!$I$5:$I$212="")*(Rótulos!$H$5:$H$212=$A9)*(Rótulos!$C$5:$C$212=$B9))</f>
        <v>6</v>
      </c>
      <c r="E9" s="15" t="n">
        <f aca="false">SUMIFS(Rótulos!$G$5:$G$212,Rótulos!$H$5:$H$212,$A9,Rótulos!$C$5:$C$212,$B9,Rótulos!$I$5:$I$212,"=",Rótulos!$F$5:$F$212,"B2C")</f>
        <v>0</v>
      </c>
      <c r="F9" s="15" t="n">
        <f aca="false">SUMIFS(Rótulos!$G$5:$G$212,Rótulos!$H$5:$H$212,$A9,Rótulos!$C$5:$C$212,$B9,Rótulos!$I$5:$I$212,"=",Rótulos!$F$5:$F$212,"B2B")</f>
        <v>95</v>
      </c>
      <c r="G9" s="15" t="n">
        <f aca="false">E9+F9</f>
        <v>95</v>
      </c>
    </row>
    <row r="10" customFormat="false" ht="15" hidden="false" customHeight="false" outlineLevel="0" collapsed="false">
      <c r="A10" s="15" t="s">
        <v>24</v>
      </c>
      <c r="B10" s="15" t="n">
        <v>200</v>
      </c>
      <c r="C10" s="15" t="s">
        <v>106</v>
      </c>
      <c r="D10" s="15" t="n">
        <f aca="false">SUMPRODUCT((Rótulos!$I$5:$I$212="")*(Rótulos!$H$5:$H$212=$A10)*(Rótulos!$C$5:$C$212=$B10))</f>
        <v>1</v>
      </c>
      <c r="E10" s="15" t="n">
        <f aca="false">SUMIFS(Rótulos!$G$5:$G$212,Rótulos!$H$5:$H$212,$A10,Rótulos!$C$5:$C$212,$B10,Rótulos!$I$5:$I$212,"=",Rótulos!$F$5:$F$212,"B2C")</f>
        <v>0</v>
      </c>
      <c r="F10" s="15" t="n">
        <f aca="false">SUMIFS(Rótulos!$G$5:$G$212,Rótulos!$H$5:$H$212,$A10,Rótulos!$C$5:$C$212,$B10,Rótulos!$I$5:$I$212,"=",Rótulos!$F$5:$F$212,"B2B")</f>
        <v>2</v>
      </c>
      <c r="G10" s="15" t="n">
        <f aca="false">E10+F10</f>
        <v>2</v>
      </c>
    </row>
    <row r="11" customFormat="false" ht="15" hidden="false" customHeight="false" outlineLevel="0" collapsed="false">
      <c r="A11" s="15" t="s">
        <v>24</v>
      </c>
      <c r="B11" s="15" t="n">
        <v>250</v>
      </c>
      <c r="C11" s="15" t="s">
        <v>25</v>
      </c>
      <c r="D11" s="15" t="n">
        <f aca="false">COUNTIFS(Rótulos!$H$5:$H$212,$A11,Rótulos!$C$5:$C$212,$B11,Rótulos!$I$5:$I$212,$C11)</f>
        <v>24</v>
      </c>
      <c r="E11" s="15" t="n">
        <f aca="false">SUMIFS(Rótulos!$G$5:$G$212,Rótulos!$H$5:$H$212,$A11,Rótulos!$C$5:$C$212,$B11,Rótulos!$I$5:$I$212,$C11,Rótulos!$F$5:$F$212,"B2C")</f>
        <v>134</v>
      </c>
      <c r="F11" s="15" t="n">
        <f aca="false">SUMIFS(Rótulos!$G$5:$G$212,Rótulos!$H$5:$H$212,$A11,Rótulos!$C$5:$C$212,$B11,Rótulos!$I$5:$I$212,$C11,Rótulos!$F$5:$F$212,"B2B")</f>
        <v>534</v>
      </c>
      <c r="G11" s="15" t="n">
        <f aca="false">E11+F11</f>
        <v>668</v>
      </c>
    </row>
    <row r="12" customFormat="false" ht="15" hidden="false" customHeight="false" outlineLevel="0" collapsed="false">
      <c r="A12" s="15" t="s">
        <v>24</v>
      </c>
      <c r="B12" s="15" t="n">
        <v>400</v>
      </c>
      <c r="C12" s="15" t="s">
        <v>31</v>
      </c>
      <c r="D12" s="15" t="n">
        <f aca="false">COUNTIFS(Rótulos!$H$5:$H$212,$A12,Rótulos!$C$5:$C$212,$B12,Rótulos!$I$5:$I$212,$C12)</f>
        <v>26</v>
      </c>
      <c r="E12" s="15" t="n">
        <f aca="false">SUMIFS(Rótulos!$G$5:$G$212,Rótulos!$H$5:$H$212,$A12,Rótulos!$C$5:$C$212,$B12,Rótulos!$I$5:$I$212,$C12,Rótulos!$F$5:$F$212,"B2C")</f>
        <v>0</v>
      </c>
      <c r="F12" s="15" t="n">
        <f aca="false">SUMIFS(Rótulos!$G$5:$G$212,Rótulos!$H$5:$H$212,$A12,Rótulos!$C$5:$C$212,$B12,Rótulos!$I$5:$I$212,$C12,Rótulos!$F$5:$F$212,"B2B")</f>
        <v>635</v>
      </c>
      <c r="G12" s="15" t="n">
        <f aca="false">E12+F12</f>
        <v>635</v>
      </c>
    </row>
    <row r="13" customFormat="false" ht="15" hidden="false" customHeight="false" outlineLevel="0" collapsed="false">
      <c r="A13" s="15" t="s">
        <v>24</v>
      </c>
      <c r="B13" s="15" t="n">
        <v>500</v>
      </c>
      <c r="C13" s="15" t="s">
        <v>31</v>
      </c>
      <c r="D13" s="15" t="n">
        <f aca="false">COUNTIFS(Rótulos!$H$5:$H$212,$A13,Rótulos!$C$5:$C$212,$B13,Rótulos!$I$5:$I$212,$C13)</f>
        <v>35</v>
      </c>
      <c r="E13" s="15" t="n">
        <f aca="false">SUMIFS(Rótulos!$G$5:$G$212,Rótulos!$H$5:$H$212,$A13,Rótulos!$C$5:$C$212,$B13,Rótulos!$I$5:$I$212,$C13,Rótulos!$F$5:$F$212,"B2C")</f>
        <v>70</v>
      </c>
      <c r="F13" s="15" t="n">
        <f aca="false">SUMIFS(Rótulos!$G$5:$G$212,Rótulos!$H$5:$H$212,$A13,Rótulos!$C$5:$C$212,$B13,Rótulos!$I$5:$I$212,$C13,Rótulos!$F$5:$F$212,"B2B")</f>
        <v>1019</v>
      </c>
      <c r="G13" s="15" t="n">
        <f aca="false">E13+F13</f>
        <v>1089</v>
      </c>
    </row>
    <row r="14" customFormat="false" ht="15" hidden="false" customHeight="false" outlineLevel="0" collapsed="false">
      <c r="A14" s="15" t="s">
        <v>24</v>
      </c>
      <c r="B14" s="15" t="n">
        <v>1000</v>
      </c>
      <c r="C14" s="15" t="s">
        <v>32</v>
      </c>
      <c r="D14" s="15" t="n">
        <f aca="false">COUNTIFS(Rótulos!$H$5:$H$212,$A14,Rótulos!$C$5:$C$212,$B14,Rótulos!$I$5:$I$212,$C14)</f>
        <v>18</v>
      </c>
      <c r="E14" s="15" t="n">
        <f aca="false">SUMIFS(Rótulos!$G$5:$G$212,Rótulos!$H$5:$H$212,$A14,Rótulos!$C$5:$C$212,$B14,Rótulos!$I$5:$I$212,$C14,Rótulos!$F$5:$F$212,"B2C")</f>
        <v>0</v>
      </c>
      <c r="F14" s="15" t="n">
        <f aca="false">SUMIFS(Rótulos!$G$5:$G$212,Rótulos!$H$5:$H$212,$A14,Rótulos!$C$5:$C$212,$B14,Rótulos!$I$5:$I$212,$C14,Rótulos!$F$5:$F$212,"B2B")</f>
        <v>197</v>
      </c>
      <c r="G14" s="15" t="n">
        <f aca="false">E14+F14</f>
        <v>197</v>
      </c>
    </row>
    <row r="15" customFormat="false" ht="15" hidden="false" customHeight="false" outlineLevel="0" collapsed="false">
      <c r="A15" s="15" t="s">
        <v>24</v>
      </c>
      <c r="B15" s="15" t="n">
        <v>5000</v>
      </c>
      <c r="C15" s="15" t="s">
        <v>106</v>
      </c>
      <c r="D15" s="15" t="n">
        <f aca="false">SUMPRODUCT((Rótulos!$I$5:$I$212="")*(Rótulos!$H$5:$H$212=$A15)*(Rótulos!$C$5:$C$212=$B15))</f>
        <v>3</v>
      </c>
      <c r="E15" s="15" t="n">
        <f aca="false">SUMIFS(Rótulos!$G$5:$G$212,Rótulos!$H$5:$H$212,$A15,Rótulos!$C$5:$C$212,$B15,Rótulos!$I$5:$I$212,"=",Rótulos!$F$5:$F$212,"B2C")</f>
        <v>0</v>
      </c>
      <c r="F15" s="15" t="n">
        <f aca="false">SUMIFS(Rótulos!$G$5:$G$212,Rótulos!$H$5:$H$212,$A15,Rótulos!$C$5:$C$212,$B15,Rótulos!$I$5:$I$212,"=",Rótulos!$F$5:$F$212,"B2B")</f>
        <v>44</v>
      </c>
      <c r="G15" s="15" t="n">
        <f aca="false">E15+F15</f>
        <v>44</v>
      </c>
    </row>
    <row r="16" customFormat="false" ht="15" hidden="false" customHeight="false" outlineLevel="0" collapsed="false">
      <c r="A16" s="16" t="s">
        <v>107</v>
      </c>
      <c r="B16" s="16"/>
      <c r="C16" s="16"/>
      <c r="D16" s="16" t="n">
        <f aca="false">SUM(D5:D15)</f>
        <v>208</v>
      </c>
      <c r="E16" s="16" t="n">
        <f aca="false">SUM(E5:E15)</f>
        <v>4436</v>
      </c>
      <c r="F16" s="16" t="n">
        <f aca="false">SUM(F5:F15)</f>
        <v>3896</v>
      </c>
      <c r="G16" s="16" t="n">
        <f aca="false">SUM(G5:G15)</f>
        <v>8332</v>
      </c>
    </row>
    <row r="18" customFormat="false" ht="15" hidden="false" customHeight="false" outlineLevel="0" collapsed="false">
      <c r="A18" s="9" t="s">
        <v>125</v>
      </c>
    </row>
    <row r="19" customFormat="false" ht="30" hidden="false" customHeight="true" outlineLevel="0" collapsed="false">
      <c r="A19" s="3" t="s">
        <v>10</v>
      </c>
      <c r="B19" s="3" t="s">
        <v>123</v>
      </c>
      <c r="C19" s="3" t="s">
        <v>124</v>
      </c>
      <c r="D19" s="3" t="s">
        <v>15</v>
      </c>
      <c r="E19" s="3" t="s">
        <v>30</v>
      </c>
      <c r="F19" s="3" t="s">
        <v>107</v>
      </c>
    </row>
    <row r="20" customFormat="false" ht="15" hidden="false" customHeight="false" outlineLevel="0" collapsed="false">
      <c r="A20" s="15" t="s">
        <v>34</v>
      </c>
      <c r="B20" s="15" t="s">
        <v>24</v>
      </c>
      <c r="C20" s="15" t="n">
        <f aca="false">COUNTIFS(Rótulos!$I$5:$I$212,$A20,Rótulos!$H$5:$H$212,$B20)</f>
        <v>31</v>
      </c>
      <c r="D20" s="15" t="n">
        <f aca="false">SUMIFS(Rótulos!$G$5:$G$212,Rótulos!$I$5:$I$212,$A20,Rótulos!$H$5:$H$212,$B20,Rótulos!$F$5:$F$212,"B2C")</f>
        <v>360</v>
      </c>
      <c r="E20" s="15" t="n">
        <f aca="false">SUMIFS(Rótulos!$G$5:$G$212,Rótulos!$I$5:$I$212,$A20,Rótulos!$H$5:$H$212,$B20,Rótulos!$F$5:$F$212,"B2B")</f>
        <v>1307</v>
      </c>
      <c r="F20" s="15" t="n">
        <f aca="false">D20+E20</f>
        <v>1667</v>
      </c>
    </row>
    <row r="21" customFormat="false" ht="15" hidden="false" customHeight="false" outlineLevel="0" collapsed="false">
      <c r="A21" s="15" t="s">
        <v>25</v>
      </c>
      <c r="B21" s="15" t="s">
        <v>24</v>
      </c>
      <c r="C21" s="15" t="n">
        <f aca="false">COUNTIFS(Rótulos!$I$5:$I$212,$A21,Rótulos!$H$5:$H$212,$B21)</f>
        <v>30</v>
      </c>
      <c r="D21" s="15" t="n">
        <f aca="false">SUMIFS(Rótulos!$G$5:$G$212,Rótulos!$I$5:$I$212,$A21,Rótulos!$H$5:$H$212,$B21,Rótulos!$F$5:$F$212,"B2C")</f>
        <v>134</v>
      </c>
      <c r="E21" s="15" t="n">
        <f aca="false">SUMIFS(Rótulos!$G$5:$G$212,Rótulos!$I$5:$I$212,$A21,Rótulos!$H$5:$H$212,$B21,Rótulos!$F$5:$F$212,"B2B")</f>
        <v>597</v>
      </c>
      <c r="F21" s="15" t="n">
        <f aca="false">D21+E21</f>
        <v>731</v>
      </c>
    </row>
    <row r="22" customFormat="false" ht="15" hidden="false" customHeight="false" outlineLevel="0" collapsed="false">
      <c r="A22" s="15" t="s">
        <v>31</v>
      </c>
      <c r="B22" s="15" t="s">
        <v>24</v>
      </c>
      <c r="C22" s="15" t="n">
        <f aca="false">COUNTIFS(Rótulos!$I$5:$I$212,$A22,Rótulos!$H$5:$H$212,$B22)</f>
        <v>61</v>
      </c>
      <c r="D22" s="15" t="n">
        <f aca="false">SUMIFS(Rótulos!$G$5:$G$212,Rótulos!$I$5:$I$212,$A22,Rótulos!$H$5:$H$212,$B22,Rótulos!$F$5:$F$212,"B2C")</f>
        <v>70</v>
      </c>
      <c r="E22" s="15" t="n">
        <f aca="false">SUMIFS(Rótulos!$G$5:$G$212,Rótulos!$I$5:$I$212,$A22,Rótulos!$H$5:$H$212,$B22,Rótulos!$F$5:$F$212,"B2B")</f>
        <v>1654</v>
      </c>
      <c r="F22" s="15" t="n">
        <f aca="false">D22+E22</f>
        <v>1724</v>
      </c>
    </row>
    <row r="23" customFormat="false" ht="15" hidden="false" customHeight="false" outlineLevel="0" collapsed="false">
      <c r="A23" s="15" t="s">
        <v>32</v>
      </c>
      <c r="B23" s="15" t="s">
        <v>24</v>
      </c>
      <c r="C23" s="15" t="n">
        <f aca="false">COUNTIFS(Rótulos!$I$5:$I$212,$A23,Rótulos!$H$5:$H$212,$B23)</f>
        <v>18</v>
      </c>
      <c r="D23" s="15" t="n">
        <f aca="false">SUMIFS(Rótulos!$G$5:$G$212,Rótulos!$I$5:$I$212,$A23,Rótulos!$H$5:$H$212,$B23,Rótulos!$F$5:$F$212,"B2C")</f>
        <v>0</v>
      </c>
      <c r="E23" s="15" t="n">
        <f aca="false">SUMIFS(Rótulos!$G$5:$G$212,Rótulos!$I$5:$I$212,$A23,Rótulos!$H$5:$H$212,$B23,Rótulos!$F$5:$F$212,"B2B")</f>
        <v>197</v>
      </c>
      <c r="F23" s="15" t="n">
        <f aca="false">D23+E23</f>
        <v>197</v>
      </c>
    </row>
    <row r="24" customFormat="false" ht="15" hidden="false" customHeight="false" outlineLevel="0" collapsed="false">
      <c r="A24" s="15" t="s">
        <v>21</v>
      </c>
      <c r="B24" s="15" t="s">
        <v>16</v>
      </c>
      <c r="C24" s="15" t="n">
        <f aca="false">COUNTIFS(Rótulos!$I$5:$I$212,$A24,Rótulos!$H$5:$H$212,$B24)</f>
        <v>34</v>
      </c>
      <c r="D24" s="15" t="n">
        <f aca="false">SUMIFS(Rótulos!$G$5:$G$212,Rótulos!$I$5:$I$212,$A24,Rótulos!$H$5:$H$212,$B24,Rótulos!$F$5:$F$212,"B2C")</f>
        <v>472</v>
      </c>
      <c r="E24" s="15" t="n">
        <f aca="false">SUMIFS(Rótulos!$G$5:$G$212,Rótulos!$I$5:$I$212,$A24,Rótulos!$H$5:$H$212,$B24,Rótulos!$F$5:$F$212,"B2B")</f>
        <v>0</v>
      </c>
      <c r="F24" s="15" t="n">
        <f aca="false">D24+E24</f>
        <v>472</v>
      </c>
    </row>
    <row r="25" customFormat="false" ht="15" hidden="false" customHeight="false" outlineLevel="0" collapsed="false">
      <c r="A25" s="15" t="s">
        <v>17</v>
      </c>
      <c r="B25" s="15" t="s">
        <v>16</v>
      </c>
      <c r="C25" s="15" t="n">
        <f aca="false">COUNTIFS(Rótulos!$I$5:$I$212,$A25,Rótulos!$H$5:$H$212,$B25)</f>
        <v>24</v>
      </c>
      <c r="D25" s="15" t="n">
        <f aca="false">SUMIFS(Rótulos!$G$5:$G$212,Rótulos!$I$5:$I$212,$A25,Rótulos!$H$5:$H$212,$B25,Rótulos!$F$5:$F$212,"B2C")</f>
        <v>3400</v>
      </c>
      <c r="E25" s="15" t="n">
        <f aca="false">SUMIFS(Rótulos!$G$5:$G$212,Rótulos!$I$5:$I$212,$A25,Rótulos!$H$5:$H$212,$B25,Rótulos!$F$5:$F$212,"B2B")</f>
        <v>0</v>
      </c>
      <c r="F25" s="15" t="n">
        <f aca="false">D25+E25</f>
        <v>3400</v>
      </c>
    </row>
    <row r="26" customFormat="false" ht="15" hidden="false" customHeight="false" outlineLevel="0" collapsed="false">
      <c r="A26" s="15" t="s">
        <v>106</v>
      </c>
      <c r="B26" s="15" t="s">
        <v>24</v>
      </c>
      <c r="C26" s="15" t="n">
        <f aca="false">SUMPRODUCT((Rótulos!$I$5:$I$212="")*(Rótulos!$H$5:$H$212=$B26))</f>
        <v>10</v>
      </c>
      <c r="D26" s="15" t="n">
        <f aca="false">SUMIFS(Rótulos!$G$5:$G$212,Rótulos!$I$5:$I$212,"=",Rótulos!$H$5:$H$212,$B26,Rótulos!$F$5:$F$212,"B2C")</f>
        <v>0</v>
      </c>
      <c r="E26" s="15" t="n">
        <f aca="false">SUMIFS(Rótulos!$G$5:$G$212,Rótulos!$I$5:$I$212,"=",Rótulos!$H$5:$H$212,$B26,Rótulos!$F$5:$F$212,"B2B")</f>
        <v>141</v>
      </c>
      <c r="F26" s="15" t="n">
        <f aca="false">D26+E26</f>
        <v>141</v>
      </c>
    </row>
    <row r="27" customFormat="false" ht="15" hidden="false" customHeight="false" outlineLevel="0" collapsed="false">
      <c r="A27" s="16" t="s">
        <v>107</v>
      </c>
      <c r="B27" s="16"/>
      <c r="C27" s="16" t="n">
        <f aca="false">SUM(C20:C26)</f>
        <v>208</v>
      </c>
      <c r="D27" s="16" t="n">
        <f aca="false">SUM(D20:D26)</f>
        <v>4436</v>
      </c>
      <c r="E27" s="16" t="n">
        <f aca="false">SUM(E20:E26)</f>
        <v>3896</v>
      </c>
      <c r="F27" s="16" t="n">
        <f aca="false">SUM(F20:F26)</f>
        <v>8332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128</v>
      </c>
      <c r="E4" s="3" t="s">
        <v>129</v>
      </c>
      <c r="F4" s="3" t="s">
        <v>130</v>
      </c>
    </row>
    <row r="5" customFormat="false" ht="15" hidden="false" customHeight="false" outlineLevel="0" collapsed="false">
      <c r="A5" s="4" t="s">
        <v>28</v>
      </c>
      <c r="B5" s="4" t="s">
        <v>29</v>
      </c>
      <c r="C5" s="4" t="n">
        <v>160</v>
      </c>
      <c r="D5" s="11" t="n">
        <v>0</v>
      </c>
      <c r="E5" s="11" t="n">
        <v>29</v>
      </c>
      <c r="F5" s="11" t="n">
        <f aca="false">E5-D5</f>
        <v>29</v>
      </c>
    </row>
    <row r="6" customFormat="false" ht="15" hidden="false" customHeight="false" outlineLevel="0" collapsed="false">
      <c r="A6" s="4" t="s">
        <v>28</v>
      </c>
      <c r="B6" s="4" t="s">
        <v>29</v>
      </c>
      <c r="C6" s="4" t="n">
        <v>400</v>
      </c>
      <c r="D6" s="11" t="n">
        <v>0</v>
      </c>
      <c r="E6" s="11" t="n">
        <v>55</v>
      </c>
      <c r="F6" s="11" t="n">
        <f aca="false">E6-D6</f>
        <v>55</v>
      </c>
    </row>
    <row r="7" customFormat="false" ht="15" hidden="false" customHeight="false" outlineLevel="0" collapsed="false">
      <c r="A7" s="4" t="s">
        <v>28</v>
      </c>
      <c r="B7" s="4" t="s">
        <v>29</v>
      </c>
      <c r="C7" s="4" t="n">
        <v>1000</v>
      </c>
      <c r="D7" s="11" t="n">
        <v>0</v>
      </c>
      <c r="E7" s="11" t="n">
        <v>21</v>
      </c>
      <c r="F7" s="11" t="n">
        <f aca="false">E7-D7</f>
        <v>21</v>
      </c>
    </row>
    <row r="8" customFormat="false" ht="15" hidden="false" customHeight="false" outlineLevel="0" collapsed="false">
      <c r="A8" s="4" t="s">
        <v>28</v>
      </c>
      <c r="B8" s="4" t="s">
        <v>29</v>
      </c>
      <c r="C8" s="4" t="n">
        <v>5000</v>
      </c>
      <c r="D8" s="11" t="n">
        <v>0</v>
      </c>
      <c r="E8" s="11" t="n">
        <v>28</v>
      </c>
      <c r="F8" s="11" t="n">
        <f aca="false">E8-D8</f>
        <v>28</v>
      </c>
    </row>
    <row r="9" customFormat="false" ht="15" hidden="false" customHeight="false" outlineLevel="0" collapsed="false">
      <c r="A9" s="4" t="s">
        <v>28</v>
      </c>
      <c r="B9" s="4" t="s">
        <v>33</v>
      </c>
      <c r="C9" s="4" t="n">
        <v>100</v>
      </c>
      <c r="D9" s="11" t="n">
        <v>0</v>
      </c>
      <c r="E9" s="11" t="n">
        <v>19</v>
      </c>
      <c r="F9" s="11" t="n">
        <f aca="false">E9-D9</f>
        <v>19</v>
      </c>
    </row>
    <row r="10" customFormat="false" ht="15" hidden="false" customHeight="false" outlineLevel="0" collapsed="false">
      <c r="A10" s="4" t="s">
        <v>28</v>
      </c>
      <c r="B10" s="4" t="s">
        <v>33</v>
      </c>
      <c r="C10" s="4" t="n">
        <v>500</v>
      </c>
      <c r="D10" s="11" t="n">
        <v>0</v>
      </c>
      <c r="E10" s="11" t="n">
        <v>76</v>
      </c>
      <c r="F10" s="11" t="n">
        <f aca="false">E10-D10</f>
        <v>76</v>
      </c>
    </row>
    <row r="11" customFormat="false" ht="15" hidden="false" customHeight="false" outlineLevel="0" collapsed="false">
      <c r="A11" s="4" t="s">
        <v>37</v>
      </c>
      <c r="B11" s="4" t="s">
        <v>29</v>
      </c>
      <c r="C11" s="4" t="n">
        <v>400</v>
      </c>
      <c r="D11" s="11" t="n">
        <v>0</v>
      </c>
      <c r="E11" s="11" t="n">
        <v>4</v>
      </c>
      <c r="F11" s="11" t="n">
        <f aca="false">E11-D11</f>
        <v>4</v>
      </c>
    </row>
    <row r="12" customFormat="false" ht="15" hidden="false" customHeight="false" outlineLevel="0" collapsed="false">
      <c r="A12" s="4" t="s">
        <v>37</v>
      </c>
      <c r="B12" s="4" t="s">
        <v>29</v>
      </c>
      <c r="C12" s="4" t="n">
        <v>1000</v>
      </c>
      <c r="D12" s="11" t="n">
        <v>0</v>
      </c>
      <c r="E12" s="11" t="n">
        <v>15</v>
      </c>
      <c r="F12" s="11" t="n">
        <f aca="false">E12-D12</f>
        <v>15</v>
      </c>
    </row>
    <row r="13" customFormat="false" ht="15" hidden="false" customHeight="false" outlineLevel="0" collapsed="false">
      <c r="A13" s="4" t="s">
        <v>37</v>
      </c>
      <c r="B13" s="4" t="s">
        <v>29</v>
      </c>
      <c r="C13" s="4" t="n">
        <v>5000</v>
      </c>
      <c r="D13" s="11" t="n">
        <v>0</v>
      </c>
      <c r="E13" s="11" t="n">
        <v>8</v>
      </c>
      <c r="F13" s="11" t="n">
        <f aca="false">E13-D13</f>
        <v>8</v>
      </c>
    </row>
    <row r="14" customFormat="false" ht="15" hidden="false" customHeight="false" outlineLevel="0" collapsed="false">
      <c r="A14" s="4" t="s">
        <v>38</v>
      </c>
      <c r="B14" s="4" t="s">
        <v>29</v>
      </c>
      <c r="C14" s="4" t="n">
        <v>400</v>
      </c>
      <c r="D14" s="11" t="n">
        <v>1</v>
      </c>
      <c r="E14" s="11" t="n">
        <v>14</v>
      </c>
      <c r="F14" s="11" t="n">
        <f aca="false">E14-D14</f>
        <v>13</v>
      </c>
    </row>
    <row r="15" customFormat="false" ht="15" hidden="false" customHeight="false" outlineLevel="0" collapsed="false">
      <c r="A15" s="4" t="s">
        <v>38</v>
      </c>
      <c r="B15" s="4" t="s">
        <v>29</v>
      </c>
      <c r="C15" s="4" t="n">
        <v>1000</v>
      </c>
      <c r="D15" s="11" t="n">
        <v>1</v>
      </c>
      <c r="E15" s="11" t="n">
        <v>6</v>
      </c>
      <c r="F15" s="11" t="n">
        <f aca="false">E15-D15</f>
        <v>5</v>
      </c>
    </row>
    <row r="16" customFormat="false" ht="15" hidden="false" customHeight="false" outlineLevel="0" collapsed="false">
      <c r="A16" s="4" t="s">
        <v>38</v>
      </c>
      <c r="B16" s="4" t="s">
        <v>33</v>
      </c>
      <c r="C16" s="4" t="n">
        <v>100</v>
      </c>
      <c r="D16" s="11" t="n">
        <v>4</v>
      </c>
      <c r="E16" s="11" t="n">
        <v>37</v>
      </c>
      <c r="F16" s="11" t="n">
        <f aca="false">E16-D16</f>
        <v>33</v>
      </c>
    </row>
    <row r="17" customFormat="false" ht="15" hidden="false" customHeight="false" outlineLevel="0" collapsed="false">
      <c r="A17" s="4" t="s">
        <v>38</v>
      </c>
      <c r="B17" s="4" t="s">
        <v>33</v>
      </c>
      <c r="C17" s="4" t="n">
        <v>500</v>
      </c>
      <c r="D17" s="11" t="n">
        <v>2</v>
      </c>
      <c r="E17" s="11" t="n">
        <v>43</v>
      </c>
      <c r="F17" s="11" t="n">
        <f aca="false">E17-D17</f>
        <v>41</v>
      </c>
    </row>
    <row r="18" customFormat="false" ht="15" hidden="false" customHeight="false" outlineLevel="0" collapsed="false">
      <c r="A18" s="4" t="s">
        <v>38</v>
      </c>
      <c r="B18" s="4" t="s">
        <v>33</v>
      </c>
      <c r="C18" s="4" t="n">
        <v>1000</v>
      </c>
      <c r="D18" s="11" t="n">
        <v>0</v>
      </c>
      <c r="E18" s="11" t="n">
        <v>4</v>
      </c>
      <c r="F18" s="11" t="n">
        <f aca="false">E18-D18</f>
        <v>4</v>
      </c>
    </row>
    <row r="19" customFormat="false" ht="15" hidden="false" customHeight="false" outlineLevel="0" collapsed="false">
      <c r="A19" s="4" t="s">
        <v>38</v>
      </c>
      <c r="B19" s="4" t="s">
        <v>18</v>
      </c>
      <c r="C19" s="4" t="n">
        <v>250</v>
      </c>
      <c r="D19" s="11" t="n">
        <v>0</v>
      </c>
      <c r="E19" s="11" t="n">
        <v>36</v>
      </c>
      <c r="F19" s="11" t="n">
        <f aca="false">E19-D19</f>
        <v>36</v>
      </c>
    </row>
    <row r="20" customFormat="false" ht="15" hidden="false" customHeight="false" outlineLevel="0" collapsed="false">
      <c r="A20" s="4" t="s">
        <v>39</v>
      </c>
      <c r="B20" s="4" t="s">
        <v>33</v>
      </c>
      <c r="C20" s="4" t="n">
        <v>100</v>
      </c>
      <c r="D20" s="11" t="n">
        <v>0</v>
      </c>
      <c r="E20" s="11" t="n">
        <v>8</v>
      </c>
      <c r="F20" s="11" t="n">
        <f aca="false">E20-D20</f>
        <v>8</v>
      </c>
    </row>
    <row r="21" customFormat="false" ht="15" hidden="false" customHeight="false" outlineLevel="0" collapsed="false">
      <c r="A21" s="4" t="s">
        <v>40</v>
      </c>
      <c r="B21" s="4" t="s">
        <v>33</v>
      </c>
      <c r="C21" s="4" t="n">
        <v>500</v>
      </c>
      <c r="D21" s="11" t="n">
        <v>0</v>
      </c>
      <c r="E21" s="11" t="n">
        <v>2</v>
      </c>
      <c r="F21" s="11" t="n">
        <f aca="false">E21-D21</f>
        <v>2</v>
      </c>
    </row>
    <row r="22" customFormat="false" ht="15" hidden="false" customHeight="false" outlineLevel="0" collapsed="false">
      <c r="A22" s="4" t="s">
        <v>131</v>
      </c>
      <c r="B22" s="4" t="s">
        <v>33</v>
      </c>
      <c r="C22" s="4" t="n">
        <v>500</v>
      </c>
      <c r="D22" s="11" t="n">
        <v>3</v>
      </c>
      <c r="E22" s="11" t="n">
        <v>0</v>
      </c>
      <c r="F22" s="11" t="n">
        <f aca="false">E22-D22</f>
        <v>-3</v>
      </c>
    </row>
    <row r="23" customFormat="false" ht="15" hidden="false" customHeight="false" outlineLevel="0" collapsed="false">
      <c r="A23" s="4" t="s">
        <v>41</v>
      </c>
      <c r="B23" s="4" t="s">
        <v>12</v>
      </c>
      <c r="C23" s="4" t="n">
        <v>250</v>
      </c>
      <c r="D23" s="11" t="n">
        <v>0</v>
      </c>
      <c r="E23" s="11" t="n">
        <v>18</v>
      </c>
      <c r="F23" s="11" t="n">
        <f aca="false">E23-D23</f>
        <v>18</v>
      </c>
    </row>
    <row r="24" customFormat="false" ht="15" hidden="false" customHeight="false" outlineLevel="0" collapsed="false">
      <c r="A24" s="4" t="s">
        <v>41</v>
      </c>
      <c r="B24" s="4" t="s">
        <v>12</v>
      </c>
      <c r="C24" s="4" t="n">
        <v>500</v>
      </c>
      <c r="D24" s="11" t="n">
        <v>0</v>
      </c>
      <c r="E24" s="11" t="n">
        <v>40</v>
      </c>
      <c r="F24" s="11" t="n">
        <f aca="false">E24-D24</f>
        <v>40</v>
      </c>
    </row>
    <row r="25" customFormat="false" ht="15" hidden="false" customHeight="false" outlineLevel="0" collapsed="false">
      <c r="A25" s="4" t="s">
        <v>41</v>
      </c>
      <c r="B25" s="4" t="s">
        <v>33</v>
      </c>
      <c r="C25" s="4" t="n">
        <v>100</v>
      </c>
      <c r="D25" s="11" t="n">
        <v>5</v>
      </c>
      <c r="E25" s="11" t="n">
        <v>45</v>
      </c>
      <c r="F25" s="11" t="n">
        <f aca="false">E25-D25</f>
        <v>40</v>
      </c>
    </row>
    <row r="26" customFormat="false" ht="15" hidden="false" customHeight="false" outlineLevel="0" collapsed="false">
      <c r="A26" s="4" t="s">
        <v>41</v>
      </c>
      <c r="B26" s="4" t="s">
        <v>33</v>
      </c>
      <c r="C26" s="4" t="n">
        <v>500</v>
      </c>
      <c r="D26" s="11" t="n">
        <v>0</v>
      </c>
      <c r="E26" s="11" t="n">
        <v>4</v>
      </c>
      <c r="F26" s="11" t="n">
        <f aca="false">E26-D26</f>
        <v>4</v>
      </c>
    </row>
    <row r="27" customFormat="false" ht="15" hidden="false" customHeight="false" outlineLevel="0" collapsed="false">
      <c r="A27" s="4" t="s">
        <v>58</v>
      </c>
      <c r="B27" s="4" t="s">
        <v>29</v>
      </c>
      <c r="C27" s="4" t="n">
        <v>160</v>
      </c>
      <c r="D27" s="11" t="n">
        <v>0</v>
      </c>
      <c r="E27" s="11" t="n">
        <v>23</v>
      </c>
      <c r="F27" s="11" t="n">
        <f aca="false">E27-D27</f>
        <v>23</v>
      </c>
    </row>
    <row r="28" customFormat="false" ht="15" hidden="false" customHeight="false" outlineLevel="0" collapsed="false">
      <c r="A28" s="4" t="s">
        <v>58</v>
      </c>
      <c r="B28" s="4" t="s">
        <v>29</v>
      </c>
      <c r="C28" s="4" t="n">
        <v>400</v>
      </c>
      <c r="D28" s="11" t="n">
        <v>0</v>
      </c>
      <c r="E28" s="11" t="n">
        <v>57</v>
      </c>
      <c r="F28" s="11" t="n">
        <f aca="false">E28-D28</f>
        <v>57</v>
      </c>
    </row>
    <row r="29" customFormat="false" ht="15" hidden="false" customHeight="false" outlineLevel="0" collapsed="false">
      <c r="A29" s="4" t="s">
        <v>58</v>
      </c>
      <c r="B29" s="4" t="s">
        <v>33</v>
      </c>
      <c r="C29" s="4" t="n">
        <v>100</v>
      </c>
      <c r="D29" s="11" t="n">
        <v>0</v>
      </c>
      <c r="E29" s="11" t="n">
        <v>28</v>
      </c>
      <c r="F29" s="11" t="n">
        <f aca="false">E29-D29</f>
        <v>28</v>
      </c>
    </row>
    <row r="30" customFormat="false" ht="15" hidden="false" customHeight="false" outlineLevel="0" collapsed="false">
      <c r="A30" s="4" t="s">
        <v>42</v>
      </c>
      <c r="B30" s="4" t="s">
        <v>29</v>
      </c>
      <c r="C30" s="4" t="n">
        <v>400</v>
      </c>
      <c r="D30" s="11" t="n">
        <v>0</v>
      </c>
      <c r="E30" s="11" t="n">
        <v>6</v>
      </c>
      <c r="F30" s="11" t="n">
        <f aca="false">E30-D30</f>
        <v>6</v>
      </c>
    </row>
    <row r="31" customFormat="false" ht="15" hidden="false" customHeight="false" outlineLevel="0" collapsed="false">
      <c r="A31" s="4" t="s">
        <v>43</v>
      </c>
      <c r="B31" s="4" t="s">
        <v>33</v>
      </c>
      <c r="C31" s="4" t="n">
        <v>100</v>
      </c>
      <c r="D31" s="11" t="n">
        <v>2</v>
      </c>
      <c r="E31" s="11" t="n">
        <v>15</v>
      </c>
      <c r="F31" s="11" t="n">
        <f aca="false">E31-D31</f>
        <v>13</v>
      </c>
    </row>
    <row r="32" customFormat="false" ht="15" hidden="false" customHeight="false" outlineLevel="0" collapsed="false">
      <c r="A32" s="4" t="s">
        <v>43</v>
      </c>
      <c r="B32" s="4" t="s">
        <v>33</v>
      </c>
      <c r="C32" s="4" t="n">
        <v>500</v>
      </c>
      <c r="D32" s="11" t="n">
        <v>0</v>
      </c>
      <c r="E32" s="11" t="n">
        <v>1</v>
      </c>
      <c r="F32" s="11" t="n">
        <f aca="false">E32-D32</f>
        <v>1</v>
      </c>
    </row>
    <row r="33" customFormat="false" ht="15" hidden="false" customHeight="false" outlineLevel="0" collapsed="false">
      <c r="A33" s="4" t="s">
        <v>44</v>
      </c>
      <c r="B33" s="4" t="s">
        <v>12</v>
      </c>
      <c r="C33" s="4" t="n">
        <v>250</v>
      </c>
      <c r="D33" s="11" t="n">
        <v>3</v>
      </c>
      <c r="E33" s="11" t="n">
        <v>205</v>
      </c>
      <c r="F33" s="11" t="n">
        <f aca="false">E33-D33</f>
        <v>202</v>
      </c>
    </row>
    <row r="34" customFormat="false" ht="15" hidden="false" customHeight="false" outlineLevel="0" collapsed="false">
      <c r="A34" s="4" t="s">
        <v>44</v>
      </c>
      <c r="B34" s="4" t="s">
        <v>29</v>
      </c>
      <c r="C34" s="4" t="n">
        <v>1000</v>
      </c>
      <c r="D34" s="11" t="n">
        <v>4</v>
      </c>
      <c r="E34" s="11" t="n">
        <v>18</v>
      </c>
      <c r="F34" s="11" t="n">
        <f aca="false">E34-D34</f>
        <v>14</v>
      </c>
    </row>
    <row r="35" customFormat="false" ht="15" hidden="false" customHeight="false" outlineLevel="0" collapsed="false">
      <c r="A35" s="4" t="s">
        <v>44</v>
      </c>
      <c r="B35" s="4" t="s">
        <v>29</v>
      </c>
      <c r="C35" s="4" t="n">
        <v>5000</v>
      </c>
      <c r="D35" s="11" t="n">
        <v>0</v>
      </c>
      <c r="E35" s="11" t="n">
        <v>8</v>
      </c>
      <c r="F35" s="11" t="n">
        <f aca="false">E35-D35</f>
        <v>8</v>
      </c>
    </row>
    <row r="36" customFormat="false" ht="15" hidden="false" customHeight="false" outlineLevel="0" collapsed="false">
      <c r="A36" s="4" t="s">
        <v>45</v>
      </c>
      <c r="B36" s="4" t="s">
        <v>29</v>
      </c>
      <c r="C36" s="4" t="n">
        <v>400</v>
      </c>
      <c r="D36" s="11" t="n">
        <v>2</v>
      </c>
      <c r="E36" s="11" t="n">
        <v>24</v>
      </c>
      <c r="F36" s="11" t="n">
        <f aca="false">E36-D36</f>
        <v>22</v>
      </c>
    </row>
    <row r="37" customFormat="false" ht="15" hidden="false" customHeight="false" outlineLevel="0" collapsed="false">
      <c r="A37" s="4" t="s">
        <v>45</v>
      </c>
      <c r="B37" s="4" t="s">
        <v>29</v>
      </c>
      <c r="C37" s="4" t="n">
        <v>1000</v>
      </c>
      <c r="D37" s="11" t="n">
        <v>1</v>
      </c>
      <c r="E37" s="11" t="n">
        <v>8</v>
      </c>
      <c r="F37" s="11" t="n">
        <f aca="false">E37-D37</f>
        <v>7</v>
      </c>
    </row>
    <row r="38" customFormat="false" ht="15" hidden="false" customHeight="false" outlineLevel="0" collapsed="false">
      <c r="A38" s="4" t="s">
        <v>45</v>
      </c>
      <c r="B38" s="4" t="s">
        <v>33</v>
      </c>
      <c r="C38" s="4" t="n">
        <v>100</v>
      </c>
      <c r="D38" s="11" t="n">
        <v>0</v>
      </c>
      <c r="E38" s="11" t="n">
        <v>16</v>
      </c>
      <c r="F38" s="11" t="n">
        <f aca="false">E38-D38</f>
        <v>16</v>
      </c>
    </row>
    <row r="39" customFormat="false" ht="15" hidden="false" customHeight="false" outlineLevel="0" collapsed="false">
      <c r="A39" s="4" t="s">
        <v>45</v>
      </c>
      <c r="B39" s="4" t="s">
        <v>33</v>
      </c>
      <c r="C39" s="4" t="n">
        <v>500</v>
      </c>
      <c r="D39" s="11" t="n">
        <v>0</v>
      </c>
      <c r="E39" s="11" t="n">
        <v>13</v>
      </c>
      <c r="F39" s="11" t="n">
        <f aca="false">E39-D39</f>
        <v>13</v>
      </c>
    </row>
    <row r="40" customFormat="false" ht="15" hidden="false" customHeight="false" outlineLevel="0" collapsed="false">
      <c r="A40" s="4" t="s">
        <v>45</v>
      </c>
      <c r="B40" s="4" t="s">
        <v>18</v>
      </c>
      <c r="C40" s="4" t="n">
        <v>500</v>
      </c>
      <c r="D40" s="11" t="n">
        <v>0</v>
      </c>
      <c r="E40" s="11" t="n">
        <v>16</v>
      </c>
      <c r="F40" s="11" t="n">
        <f aca="false">E40-D40</f>
        <v>16</v>
      </c>
    </row>
    <row r="41" customFormat="false" ht="15" hidden="false" customHeight="false" outlineLevel="0" collapsed="false">
      <c r="A41" s="4" t="s">
        <v>46</v>
      </c>
      <c r="B41" s="4" t="s">
        <v>29</v>
      </c>
      <c r="C41" s="4" t="n">
        <v>400</v>
      </c>
      <c r="D41" s="11" t="n">
        <v>0</v>
      </c>
      <c r="E41" s="11" t="n">
        <v>18</v>
      </c>
      <c r="F41" s="11" t="n">
        <f aca="false">E41-D41</f>
        <v>18</v>
      </c>
    </row>
    <row r="42" customFormat="false" ht="15" hidden="false" customHeight="false" outlineLevel="0" collapsed="false">
      <c r="A42" s="4" t="s">
        <v>48</v>
      </c>
      <c r="B42" s="4" t="s">
        <v>29</v>
      </c>
      <c r="C42" s="4" t="n">
        <v>400</v>
      </c>
      <c r="D42" s="11" t="n">
        <v>3</v>
      </c>
      <c r="E42" s="11" t="n">
        <v>31</v>
      </c>
      <c r="F42" s="11" t="n">
        <f aca="false">E42-D42</f>
        <v>28</v>
      </c>
    </row>
    <row r="43" customFormat="false" ht="15" hidden="false" customHeight="false" outlineLevel="0" collapsed="false">
      <c r="A43" s="4" t="s">
        <v>48</v>
      </c>
      <c r="B43" s="4" t="s">
        <v>33</v>
      </c>
      <c r="C43" s="4" t="n">
        <v>100</v>
      </c>
      <c r="D43" s="11" t="n">
        <v>1</v>
      </c>
      <c r="E43" s="11" t="n">
        <v>3</v>
      </c>
      <c r="F43" s="11" t="n">
        <f aca="false">E43-D43</f>
        <v>2</v>
      </c>
    </row>
    <row r="44" customFormat="false" ht="15" hidden="false" customHeight="false" outlineLevel="0" collapsed="false">
      <c r="A44" s="4" t="s">
        <v>48</v>
      </c>
      <c r="B44" s="4" t="s">
        <v>33</v>
      </c>
      <c r="C44" s="4" t="n">
        <v>500</v>
      </c>
      <c r="D44" s="11" t="n">
        <v>13</v>
      </c>
      <c r="E44" s="11" t="n">
        <v>128</v>
      </c>
      <c r="F44" s="11" t="n">
        <f aca="false">E44-D44</f>
        <v>115</v>
      </c>
    </row>
    <row r="45" customFormat="false" ht="15" hidden="false" customHeight="false" outlineLevel="0" collapsed="false">
      <c r="A45" s="4" t="s">
        <v>48</v>
      </c>
      <c r="B45" s="4" t="s">
        <v>33</v>
      </c>
      <c r="C45" s="4" t="n">
        <v>1000</v>
      </c>
      <c r="D45" s="11" t="n">
        <v>1</v>
      </c>
      <c r="E45" s="11" t="n">
        <v>9</v>
      </c>
      <c r="F45" s="11" t="n">
        <f aca="false">E45-D45</f>
        <v>8</v>
      </c>
    </row>
    <row r="46" customFormat="false" ht="15" hidden="false" customHeight="false" outlineLevel="0" collapsed="false">
      <c r="A46" s="4" t="s">
        <v>48</v>
      </c>
      <c r="B46" s="4" t="s">
        <v>18</v>
      </c>
      <c r="C46" s="4" t="n">
        <v>250</v>
      </c>
      <c r="D46" s="11" t="n">
        <v>8</v>
      </c>
      <c r="E46" s="11" t="n">
        <v>80</v>
      </c>
      <c r="F46" s="11" t="n">
        <f aca="false">E46-D46</f>
        <v>72</v>
      </c>
    </row>
    <row r="47" customFormat="false" ht="15" hidden="false" customHeight="false" outlineLevel="0" collapsed="false">
      <c r="A47" s="4" t="s">
        <v>49</v>
      </c>
      <c r="B47" s="4" t="s">
        <v>18</v>
      </c>
      <c r="C47" s="4" t="n">
        <v>150</v>
      </c>
      <c r="D47" s="11" t="n">
        <v>0</v>
      </c>
      <c r="E47" s="11" t="n">
        <v>8</v>
      </c>
      <c r="F47" s="11" t="n">
        <f aca="false">E47-D47</f>
        <v>8</v>
      </c>
    </row>
    <row r="48" customFormat="false" ht="15" hidden="false" customHeight="false" outlineLevel="0" collapsed="false">
      <c r="A48" s="4" t="s">
        <v>50</v>
      </c>
      <c r="B48" s="4" t="s">
        <v>33</v>
      </c>
      <c r="C48" s="4" t="n">
        <v>500</v>
      </c>
      <c r="D48" s="11" t="n">
        <v>2</v>
      </c>
      <c r="E48" s="11" t="n">
        <v>19</v>
      </c>
      <c r="F48" s="11" t="n">
        <f aca="false">E48-D48</f>
        <v>17</v>
      </c>
    </row>
    <row r="49" customFormat="false" ht="15" hidden="false" customHeight="false" outlineLevel="0" collapsed="false">
      <c r="A49" s="4" t="s">
        <v>51</v>
      </c>
      <c r="B49" s="4" t="s">
        <v>33</v>
      </c>
      <c r="C49" s="4" t="n">
        <v>500</v>
      </c>
      <c r="D49" s="11" t="n">
        <v>0</v>
      </c>
      <c r="E49" s="11" t="n">
        <v>27</v>
      </c>
      <c r="F49" s="11" t="n">
        <f aca="false">E49-D49</f>
        <v>27</v>
      </c>
    </row>
    <row r="50" customFormat="false" ht="15" hidden="false" customHeight="false" outlineLevel="0" collapsed="false">
      <c r="A50" s="4" t="s">
        <v>59</v>
      </c>
      <c r="B50" s="4" t="s">
        <v>29</v>
      </c>
      <c r="C50" s="4" t="n">
        <v>400</v>
      </c>
      <c r="D50" s="11" t="n">
        <v>5</v>
      </c>
      <c r="E50" s="11" t="n">
        <v>46</v>
      </c>
      <c r="F50" s="11" t="n">
        <f aca="false">E50-D50</f>
        <v>41</v>
      </c>
    </row>
    <row r="51" customFormat="false" ht="15" hidden="false" customHeight="false" outlineLevel="0" collapsed="false">
      <c r="A51" s="4" t="s">
        <v>59</v>
      </c>
      <c r="B51" s="4" t="s">
        <v>33</v>
      </c>
      <c r="C51" s="4" t="n">
        <v>100</v>
      </c>
      <c r="D51" s="11" t="n">
        <v>10</v>
      </c>
      <c r="E51" s="11" t="n">
        <v>103</v>
      </c>
      <c r="F51" s="11" t="n">
        <f aca="false">E51-D51</f>
        <v>93</v>
      </c>
    </row>
    <row r="52" customFormat="false" ht="15" hidden="false" customHeight="false" outlineLevel="0" collapsed="false">
      <c r="A52" s="4" t="s">
        <v>132</v>
      </c>
      <c r="B52" s="4" t="s">
        <v>29</v>
      </c>
      <c r="C52" s="4" t="n">
        <v>1000</v>
      </c>
      <c r="D52" s="11" t="n">
        <v>4</v>
      </c>
      <c r="E52" s="11" t="n">
        <v>0</v>
      </c>
      <c r="F52" s="11" t="n">
        <f aca="false">E52-D52</f>
        <v>-4</v>
      </c>
    </row>
    <row r="53" customFormat="false" ht="15" hidden="false" customHeight="false" outlineLevel="0" collapsed="false">
      <c r="A53" s="4" t="s">
        <v>52</v>
      </c>
      <c r="B53" s="4" t="s">
        <v>29</v>
      </c>
      <c r="C53" s="4" t="n">
        <v>400</v>
      </c>
      <c r="D53" s="11" t="n">
        <v>0</v>
      </c>
      <c r="E53" s="11" t="n">
        <v>2</v>
      </c>
      <c r="F53" s="11" t="n">
        <f aca="false">E53-D53</f>
        <v>2</v>
      </c>
    </row>
    <row r="54" customFormat="false" ht="15" hidden="false" customHeight="false" outlineLevel="0" collapsed="false">
      <c r="A54" s="4" t="s">
        <v>54</v>
      </c>
      <c r="B54" s="4" t="s">
        <v>29</v>
      </c>
      <c r="C54" s="4" t="n">
        <v>160</v>
      </c>
      <c r="D54" s="11" t="n">
        <v>0</v>
      </c>
      <c r="E54" s="11" t="n">
        <v>3</v>
      </c>
      <c r="F54" s="11" t="n">
        <f aca="false">E54-D54</f>
        <v>3</v>
      </c>
    </row>
    <row r="55" customFormat="false" ht="15" hidden="false" customHeight="false" outlineLevel="0" collapsed="false">
      <c r="A55" s="4" t="s">
        <v>54</v>
      </c>
      <c r="B55" s="4" t="s">
        <v>29</v>
      </c>
      <c r="C55" s="4" t="n">
        <v>400</v>
      </c>
      <c r="D55" s="11" t="n">
        <v>0</v>
      </c>
      <c r="E55" s="11" t="n">
        <v>16</v>
      </c>
      <c r="F55" s="11" t="n">
        <f aca="false">E55-D55</f>
        <v>16</v>
      </c>
    </row>
    <row r="56" customFormat="false" ht="15" hidden="false" customHeight="false" outlineLevel="0" collapsed="false">
      <c r="A56" s="4" t="s">
        <v>54</v>
      </c>
      <c r="B56" s="4" t="s">
        <v>33</v>
      </c>
      <c r="C56" s="4" t="n">
        <v>100</v>
      </c>
      <c r="D56" s="11" t="n">
        <v>0</v>
      </c>
      <c r="E56" s="11" t="n">
        <v>10</v>
      </c>
      <c r="F56" s="11" t="n">
        <f aca="false">E56-D56</f>
        <v>10</v>
      </c>
    </row>
    <row r="57" customFormat="false" ht="15" hidden="false" customHeight="false" outlineLevel="0" collapsed="false">
      <c r="A57" s="4" t="s">
        <v>54</v>
      </c>
      <c r="B57" s="4" t="s">
        <v>33</v>
      </c>
      <c r="C57" s="4" t="n">
        <v>500</v>
      </c>
      <c r="D57" s="11" t="n">
        <v>0</v>
      </c>
      <c r="E57" s="11" t="n">
        <v>43</v>
      </c>
      <c r="F57" s="11" t="n">
        <f aca="false">E57-D57</f>
        <v>43</v>
      </c>
    </row>
    <row r="58" customFormat="false" ht="15" hidden="false" customHeight="false" outlineLevel="0" collapsed="false">
      <c r="A58" s="4" t="s">
        <v>54</v>
      </c>
      <c r="B58" s="4" t="s">
        <v>18</v>
      </c>
      <c r="C58" s="4" t="n">
        <v>150</v>
      </c>
      <c r="D58" s="11" t="n">
        <v>0</v>
      </c>
      <c r="E58" s="11" t="n">
        <v>4</v>
      </c>
      <c r="F58" s="11" t="n">
        <f aca="false">E58-D58</f>
        <v>4</v>
      </c>
    </row>
    <row r="59" customFormat="false" ht="15" hidden="false" customHeight="false" outlineLevel="0" collapsed="false">
      <c r="A59" s="4" t="s">
        <v>55</v>
      </c>
      <c r="B59" s="4" t="s">
        <v>33</v>
      </c>
      <c r="C59" s="4" t="n">
        <v>500</v>
      </c>
      <c r="D59" s="11" t="n">
        <v>0</v>
      </c>
      <c r="E59" s="11" t="n">
        <v>36</v>
      </c>
      <c r="F59" s="11" t="n">
        <f aca="false">E59-D59</f>
        <v>36</v>
      </c>
    </row>
    <row r="60" customFormat="false" ht="15" hidden="false" customHeight="false" outlineLevel="0" collapsed="false">
      <c r="A60" s="4" t="s">
        <v>133</v>
      </c>
      <c r="B60" s="4" t="s">
        <v>134</v>
      </c>
      <c r="C60" s="4" t="n">
        <v>500</v>
      </c>
      <c r="D60" s="11" t="n">
        <v>4</v>
      </c>
      <c r="E60" s="11" t="n">
        <v>0</v>
      </c>
      <c r="F60" s="11" t="n">
        <f aca="false">E60-D60</f>
        <v>-4</v>
      </c>
    </row>
    <row r="61" customFormat="false" ht="15" hidden="false" customHeight="false" outlineLevel="0" collapsed="false">
      <c r="A61" s="4" t="s">
        <v>56</v>
      </c>
      <c r="B61" s="4" t="s">
        <v>12</v>
      </c>
      <c r="C61" s="4" t="n">
        <v>150</v>
      </c>
      <c r="D61" s="11" t="n">
        <v>3</v>
      </c>
      <c r="E61" s="11" t="n">
        <v>25</v>
      </c>
      <c r="F61" s="11" t="n">
        <f aca="false">E61-D61</f>
        <v>22</v>
      </c>
    </row>
    <row r="62" customFormat="false" ht="15" hidden="false" customHeight="false" outlineLevel="0" collapsed="false">
      <c r="A62" s="4" t="s">
        <v>56</v>
      </c>
      <c r="B62" s="4" t="s">
        <v>12</v>
      </c>
      <c r="C62" s="4" t="n">
        <v>250</v>
      </c>
      <c r="D62" s="11" t="n">
        <v>0</v>
      </c>
      <c r="E62" s="11" t="n">
        <v>90</v>
      </c>
      <c r="F62" s="11" t="n">
        <f aca="false">E62-D62</f>
        <v>90</v>
      </c>
    </row>
    <row r="63" customFormat="false" ht="15" hidden="false" customHeight="false" outlineLevel="0" collapsed="false">
      <c r="A63" s="4" t="s">
        <v>56</v>
      </c>
      <c r="B63" s="4" t="s">
        <v>29</v>
      </c>
      <c r="C63" s="4" t="n">
        <v>160</v>
      </c>
      <c r="D63" s="11" t="n">
        <v>0</v>
      </c>
      <c r="E63" s="11" t="n">
        <v>7</v>
      </c>
      <c r="F63" s="11" t="n">
        <f aca="false">E63-D63</f>
        <v>7</v>
      </c>
    </row>
    <row r="64" customFormat="false" ht="15" hidden="false" customHeight="false" outlineLevel="0" collapsed="false">
      <c r="A64" s="4" t="s">
        <v>56</v>
      </c>
      <c r="B64" s="4" t="s">
        <v>29</v>
      </c>
      <c r="C64" s="4" t="n">
        <v>400</v>
      </c>
      <c r="D64" s="11" t="n">
        <v>2</v>
      </c>
      <c r="E64" s="11" t="n">
        <v>13</v>
      </c>
      <c r="F64" s="11" t="n">
        <f aca="false">E64-D64</f>
        <v>11</v>
      </c>
    </row>
    <row r="65" customFormat="false" ht="15" hidden="false" customHeight="false" outlineLevel="0" collapsed="false">
      <c r="A65" s="4" t="s">
        <v>56</v>
      </c>
      <c r="B65" s="4" t="s">
        <v>33</v>
      </c>
      <c r="C65" s="4" t="n">
        <v>100</v>
      </c>
      <c r="D65" s="11" t="n">
        <v>1</v>
      </c>
      <c r="E65" s="11" t="n">
        <v>10</v>
      </c>
      <c r="F65" s="11" t="n">
        <f aca="false">E65-D65</f>
        <v>9</v>
      </c>
    </row>
    <row r="66" customFormat="false" ht="15" hidden="false" customHeight="false" outlineLevel="0" collapsed="false">
      <c r="A66" s="4" t="s">
        <v>60</v>
      </c>
      <c r="B66" s="4" t="s">
        <v>29</v>
      </c>
      <c r="C66" s="4" t="n">
        <v>400</v>
      </c>
      <c r="D66" s="11" t="n">
        <v>8</v>
      </c>
      <c r="E66" s="11" t="n">
        <v>68</v>
      </c>
      <c r="F66" s="11" t="n">
        <f aca="false">E66-D66</f>
        <v>60</v>
      </c>
    </row>
    <row r="67" customFormat="false" ht="15" hidden="false" customHeight="false" outlineLevel="0" collapsed="false">
      <c r="A67" s="4" t="s">
        <v>60</v>
      </c>
      <c r="B67" s="4" t="s">
        <v>29</v>
      </c>
      <c r="C67" s="4" t="n">
        <v>1000</v>
      </c>
      <c r="D67" s="11" t="n">
        <v>2</v>
      </c>
      <c r="E67" s="11" t="n">
        <v>18</v>
      </c>
      <c r="F67" s="11" t="n">
        <f aca="false">E67-D67</f>
        <v>16</v>
      </c>
    </row>
    <row r="68" customFormat="false" ht="15" hidden="false" customHeight="false" outlineLevel="0" collapsed="false">
      <c r="A68" s="4" t="s">
        <v>60</v>
      </c>
      <c r="B68" s="4" t="s">
        <v>33</v>
      </c>
      <c r="C68" s="4" t="n">
        <v>100</v>
      </c>
      <c r="D68" s="11" t="n">
        <v>28</v>
      </c>
      <c r="E68" s="11" t="n">
        <v>236</v>
      </c>
      <c r="F68" s="11" t="n">
        <f aca="false">E68-D68</f>
        <v>208</v>
      </c>
    </row>
    <row r="69" customFormat="false" ht="15" hidden="false" customHeight="false" outlineLevel="0" collapsed="false">
      <c r="A69" s="4" t="s">
        <v>60</v>
      </c>
      <c r="B69" s="4" t="s">
        <v>33</v>
      </c>
      <c r="C69" s="4" t="n">
        <v>500</v>
      </c>
      <c r="D69" s="11" t="n">
        <v>0</v>
      </c>
      <c r="E69" s="11" t="n">
        <v>2</v>
      </c>
      <c r="F69" s="11" t="n">
        <f aca="false">E69-D69</f>
        <v>2</v>
      </c>
    </row>
    <row r="70" customFormat="false" ht="15" hidden="false" customHeight="false" outlineLevel="0" collapsed="false">
      <c r="A70" s="4" t="s">
        <v>60</v>
      </c>
      <c r="B70" s="4" t="s">
        <v>33</v>
      </c>
      <c r="C70" s="4" t="n">
        <v>1000</v>
      </c>
      <c r="D70" s="11" t="n">
        <v>2</v>
      </c>
      <c r="E70" s="11" t="n">
        <v>18</v>
      </c>
      <c r="F70" s="11" t="n">
        <f aca="false">E70-D70</f>
        <v>16</v>
      </c>
    </row>
    <row r="71" customFormat="false" ht="15" hidden="false" customHeight="false" outlineLevel="0" collapsed="false">
      <c r="A71" s="4" t="s">
        <v>57</v>
      </c>
      <c r="B71" s="4" t="s">
        <v>33</v>
      </c>
      <c r="C71" s="4" t="n">
        <v>100</v>
      </c>
      <c r="D71" s="11" t="n">
        <v>34</v>
      </c>
      <c r="E71" s="11" t="n">
        <v>649</v>
      </c>
      <c r="F71" s="11" t="n">
        <f aca="false">E71-D71</f>
        <v>615</v>
      </c>
    </row>
    <row r="72" customFormat="false" ht="15" hidden="false" customHeight="false" outlineLevel="0" collapsed="false">
      <c r="A72" s="4" t="s">
        <v>61</v>
      </c>
      <c r="B72" s="4" t="s">
        <v>33</v>
      </c>
      <c r="C72" s="4" t="n">
        <v>500</v>
      </c>
      <c r="D72" s="11" t="n">
        <v>0</v>
      </c>
      <c r="E72" s="11" t="n">
        <v>18</v>
      </c>
      <c r="F72" s="11" t="n">
        <f aca="false">E72-D72</f>
        <v>18</v>
      </c>
    </row>
    <row r="73" customFormat="false" ht="15" hidden="false" customHeight="false" outlineLevel="0" collapsed="false">
      <c r="A73" s="4" t="s">
        <v>66</v>
      </c>
      <c r="B73" s="4" t="s">
        <v>29</v>
      </c>
      <c r="C73" s="4" t="n">
        <v>1000</v>
      </c>
      <c r="D73" s="11" t="n">
        <v>0</v>
      </c>
      <c r="E73" s="11" t="n">
        <v>22</v>
      </c>
      <c r="F73" s="11" t="n">
        <f aca="false">E73-D73</f>
        <v>22</v>
      </c>
    </row>
    <row r="74" customFormat="false" ht="15" hidden="false" customHeight="false" outlineLevel="0" collapsed="false">
      <c r="A74" s="4" t="s">
        <v>66</v>
      </c>
      <c r="B74" s="4" t="s">
        <v>33</v>
      </c>
      <c r="C74" s="4" t="n">
        <v>500</v>
      </c>
      <c r="D74" s="11" t="n">
        <v>0</v>
      </c>
      <c r="E74" s="11" t="n">
        <v>6</v>
      </c>
      <c r="F74" s="11" t="n">
        <f aca="false">E74-D74</f>
        <v>6</v>
      </c>
    </row>
    <row r="75" customFormat="false" ht="15" hidden="false" customHeight="false" outlineLevel="0" collapsed="false">
      <c r="A75" s="4" t="s">
        <v>67</v>
      </c>
      <c r="B75" s="4" t="s">
        <v>29</v>
      </c>
      <c r="C75" s="4" t="n">
        <v>400</v>
      </c>
      <c r="D75" s="11" t="n">
        <v>0</v>
      </c>
      <c r="E75" s="11" t="n">
        <v>5</v>
      </c>
      <c r="F75" s="11" t="n">
        <f aca="false">E75-D75</f>
        <v>5</v>
      </c>
    </row>
    <row r="76" customFormat="false" ht="15" hidden="false" customHeight="false" outlineLevel="0" collapsed="false">
      <c r="A76" s="4" t="s">
        <v>67</v>
      </c>
      <c r="B76" s="4" t="s">
        <v>33</v>
      </c>
      <c r="C76" s="4" t="n">
        <v>500</v>
      </c>
      <c r="D76" s="11" t="n">
        <v>0</v>
      </c>
      <c r="E76" s="11" t="n">
        <v>6</v>
      </c>
      <c r="F76" s="11" t="n">
        <f aca="false">E76-D76</f>
        <v>6</v>
      </c>
    </row>
    <row r="77" customFormat="false" ht="15" hidden="false" customHeight="false" outlineLevel="0" collapsed="false">
      <c r="A77" s="4" t="s">
        <v>68</v>
      </c>
      <c r="B77" s="4" t="s">
        <v>18</v>
      </c>
      <c r="C77" s="4" t="n">
        <v>150</v>
      </c>
      <c r="D77" s="11" t="n">
        <v>0</v>
      </c>
      <c r="E77" s="11" t="n">
        <v>9</v>
      </c>
      <c r="F77" s="11" t="n">
        <f aca="false">E77-D77</f>
        <v>9</v>
      </c>
    </row>
    <row r="78" customFormat="false" ht="15" hidden="false" customHeight="false" outlineLevel="0" collapsed="false">
      <c r="A78" s="4" t="s">
        <v>69</v>
      </c>
      <c r="B78" s="4" t="s">
        <v>33</v>
      </c>
      <c r="C78" s="4" t="n">
        <v>100</v>
      </c>
      <c r="D78" s="11" t="n">
        <v>0</v>
      </c>
      <c r="E78" s="11" t="n">
        <v>2</v>
      </c>
      <c r="F78" s="11" t="n">
        <f aca="false">E78-D78</f>
        <v>2</v>
      </c>
    </row>
    <row r="79" customFormat="false" ht="15" hidden="false" customHeight="false" outlineLevel="0" collapsed="false">
      <c r="A79" s="4" t="s">
        <v>69</v>
      </c>
      <c r="B79" s="4" t="s">
        <v>18</v>
      </c>
      <c r="C79" s="4" t="n">
        <v>150</v>
      </c>
      <c r="D79" s="11" t="n">
        <v>0</v>
      </c>
      <c r="E79" s="11" t="n">
        <v>8</v>
      </c>
      <c r="F79" s="11" t="n">
        <f aca="false">E79-D79</f>
        <v>8</v>
      </c>
    </row>
    <row r="80" customFormat="false" ht="15" hidden="false" customHeight="false" outlineLevel="0" collapsed="false">
      <c r="A80" s="4" t="s">
        <v>71</v>
      </c>
      <c r="B80" s="4" t="s">
        <v>29</v>
      </c>
      <c r="C80" s="4" t="n">
        <v>400</v>
      </c>
      <c r="D80" s="11" t="n">
        <v>1</v>
      </c>
      <c r="E80" s="11" t="n">
        <v>9</v>
      </c>
      <c r="F80" s="11" t="n">
        <f aca="false">E80-D80</f>
        <v>8</v>
      </c>
    </row>
    <row r="81" customFormat="false" ht="15" hidden="false" customHeight="false" outlineLevel="0" collapsed="false">
      <c r="A81" s="4" t="s">
        <v>72</v>
      </c>
      <c r="B81" s="4" t="s">
        <v>29</v>
      </c>
      <c r="C81" s="4" t="n">
        <v>400</v>
      </c>
      <c r="D81" s="11" t="n">
        <v>0</v>
      </c>
      <c r="E81" s="11" t="n">
        <v>26</v>
      </c>
      <c r="F81" s="11" t="n">
        <f aca="false">E81-D81</f>
        <v>26</v>
      </c>
    </row>
    <row r="82" customFormat="false" ht="15" hidden="false" customHeight="false" outlineLevel="0" collapsed="false">
      <c r="A82" s="4" t="s">
        <v>72</v>
      </c>
      <c r="B82" s="4" t="s">
        <v>33</v>
      </c>
      <c r="C82" s="4" t="n">
        <v>100</v>
      </c>
      <c r="D82" s="11" t="n">
        <v>1</v>
      </c>
      <c r="E82" s="11" t="n">
        <v>3</v>
      </c>
      <c r="F82" s="11" t="n">
        <f aca="false">E82-D82</f>
        <v>2</v>
      </c>
    </row>
    <row r="83" customFormat="false" ht="15" hidden="false" customHeight="false" outlineLevel="0" collapsed="false">
      <c r="A83" s="4" t="s">
        <v>72</v>
      </c>
      <c r="B83" s="4" t="s">
        <v>33</v>
      </c>
      <c r="C83" s="4" t="n">
        <v>500</v>
      </c>
      <c r="D83" s="11" t="n">
        <v>2</v>
      </c>
      <c r="E83" s="11" t="n">
        <v>23</v>
      </c>
      <c r="F83" s="11" t="n">
        <f aca="false">E83-D83</f>
        <v>21</v>
      </c>
    </row>
    <row r="84" customFormat="false" ht="15" hidden="false" customHeight="false" outlineLevel="0" collapsed="false">
      <c r="A84" s="4" t="s">
        <v>72</v>
      </c>
      <c r="B84" s="4" t="s">
        <v>33</v>
      </c>
      <c r="C84" s="4" t="n">
        <v>1000</v>
      </c>
      <c r="D84" s="11" t="n">
        <v>1</v>
      </c>
      <c r="E84" s="11" t="n">
        <v>3</v>
      </c>
      <c r="F84" s="11" t="n">
        <f aca="false">E84-D84</f>
        <v>2</v>
      </c>
    </row>
    <row r="85" customFormat="false" ht="15" hidden="false" customHeight="false" outlineLevel="0" collapsed="false">
      <c r="A85" s="4" t="s">
        <v>72</v>
      </c>
      <c r="B85" s="4" t="s">
        <v>18</v>
      </c>
      <c r="C85" s="4" t="n">
        <v>250</v>
      </c>
      <c r="D85" s="11" t="n">
        <v>2</v>
      </c>
      <c r="E85" s="11" t="n">
        <v>6</v>
      </c>
      <c r="F85" s="11" t="n">
        <f aca="false">E85-D85</f>
        <v>4</v>
      </c>
    </row>
    <row r="86" customFormat="false" ht="15" hidden="false" customHeight="false" outlineLevel="0" collapsed="false">
      <c r="A86" s="4" t="s">
        <v>62</v>
      </c>
      <c r="B86" s="4" t="s">
        <v>29</v>
      </c>
      <c r="C86" s="4" t="n">
        <v>400</v>
      </c>
      <c r="D86" s="11" t="n">
        <v>0</v>
      </c>
      <c r="E86" s="11" t="n">
        <v>6</v>
      </c>
      <c r="F86" s="11" t="n">
        <f aca="false">E86-D86</f>
        <v>6</v>
      </c>
    </row>
    <row r="87" customFormat="false" ht="15" hidden="false" customHeight="false" outlineLevel="0" collapsed="false">
      <c r="A87" s="4" t="s">
        <v>62</v>
      </c>
      <c r="B87" s="4" t="s">
        <v>29</v>
      </c>
      <c r="C87" s="4" t="n">
        <v>1000</v>
      </c>
      <c r="D87" s="11" t="n">
        <v>1</v>
      </c>
      <c r="E87" s="11" t="n">
        <v>2</v>
      </c>
      <c r="F87" s="11" t="n">
        <f aca="false">E87-D87</f>
        <v>1</v>
      </c>
    </row>
    <row r="88" customFormat="false" ht="15" hidden="false" customHeight="false" outlineLevel="0" collapsed="false">
      <c r="A88" s="4" t="s">
        <v>62</v>
      </c>
      <c r="B88" s="4" t="s">
        <v>33</v>
      </c>
      <c r="C88" s="4" t="n">
        <v>500</v>
      </c>
      <c r="D88" s="11" t="n">
        <v>0</v>
      </c>
      <c r="E88" s="11" t="n">
        <v>23</v>
      </c>
      <c r="F88" s="11" t="n">
        <f aca="false">E88-D88</f>
        <v>23</v>
      </c>
    </row>
    <row r="89" customFormat="false" ht="15" hidden="false" customHeight="false" outlineLevel="0" collapsed="false">
      <c r="A89" s="4" t="s">
        <v>73</v>
      </c>
      <c r="B89" s="4" t="s">
        <v>12</v>
      </c>
      <c r="C89" s="4" t="n">
        <v>150</v>
      </c>
      <c r="D89" s="11" t="n">
        <v>1</v>
      </c>
      <c r="E89" s="11" t="n">
        <v>0</v>
      </c>
      <c r="F89" s="11" t="n">
        <f aca="false">E89-D89</f>
        <v>-1</v>
      </c>
    </row>
    <row r="90" customFormat="false" ht="15" hidden="false" customHeight="false" outlineLevel="0" collapsed="false">
      <c r="A90" s="4" t="s">
        <v>73</v>
      </c>
      <c r="B90" s="4" t="s">
        <v>12</v>
      </c>
      <c r="C90" s="4" t="n">
        <v>250</v>
      </c>
      <c r="D90" s="11" t="n">
        <v>7</v>
      </c>
      <c r="E90" s="11" t="n">
        <v>0</v>
      </c>
      <c r="F90" s="11" t="n">
        <f aca="false">E90-D90</f>
        <v>-7</v>
      </c>
    </row>
    <row r="91" customFormat="false" ht="15" hidden="false" customHeight="false" outlineLevel="0" collapsed="false">
      <c r="A91" s="4" t="s">
        <v>73</v>
      </c>
      <c r="B91" s="4" t="s">
        <v>29</v>
      </c>
      <c r="C91" s="4" t="n">
        <v>400</v>
      </c>
      <c r="D91" s="11" t="n">
        <v>2</v>
      </c>
      <c r="E91" s="11" t="n">
        <v>0</v>
      </c>
      <c r="F91" s="11" t="n">
        <f aca="false">E91-D91</f>
        <v>-2</v>
      </c>
    </row>
    <row r="92" customFormat="false" ht="15" hidden="false" customHeight="false" outlineLevel="0" collapsed="false">
      <c r="A92" s="4" t="s">
        <v>73</v>
      </c>
      <c r="B92" s="4" t="s">
        <v>33</v>
      </c>
      <c r="C92" s="4" t="n">
        <v>100</v>
      </c>
      <c r="D92" s="11" t="n">
        <v>1</v>
      </c>
      <c r="E92" s="11" t="n">
        <v>0</v>
      </c>
      <c r="F92" s="11" t="n">
        <f aca="false">E92-D92</f>
        <v>-1</v>
      </c>
    </row>
    <row r="93" customFormat="false" ht="15" hidden="false" customHeight="false" outlineLevel="0" collapsed="false">
      <c r="A93" s="4" t="s">
        <v>74</v>
      </c>
      <c r="B93" s="4" t="s">
        <v>12</v>
      </c>
      <c r="C93" s="4" t="n">
        <v>150</v>
      </c>
      <c r="D93" s="11" t="n">
        <v>0</v>
      </c>
      <c r="E93" s="11" t="n">
        <v>9</v>
      </c>
      <c r="F93" s="11" t="n">
        <f aca="false">E93-D93</f>
        <v>9</v>
      </c>
    </row>
    <row r="94" customFormat="false" ht="15" hidden="false" customHeight="false" outlineLevel="0" collapsed="false">
      <c r="A94" s="4" t="s">
        <v>74</v>
      </c>
      <c r="B94" s="4" t="s">
        <v>12</v>
      </c>
      <c r="C94" s="4" t="n">
        <v>250</v>
      </c>
      <c r="D94" s="11" t="n">
        <v>0</v>
      </c>
      <c r="E94" s="11" t="n">
        <v>99</v>
      </c>
      <c r="F94" s="11" t="n">
        <f aca="false">E94-D94</f>
        <v>99</v>
      </c>
    </row>
    <row r="95" customFormat="false" ht="15" hidden="false" customHeight="false" outlineLevel="0" collapsed="false">
      <c r="A95" s="4" t="s">
        <v>74</v>
      </c>
      <c r="B95" s="4" t="s">
        <v>29</v>
      </c>
      <c r="C95" s="4" t="n">
        <v>160</v>
      </c>
      <c r="D95" s="11" t="n">
        <v>0</v>
      </c>
      <c r="E95" s="11" t="n">
        <v>9</v>
      </c>
      <c r="F95" s="11" t="n">
        <f aca="false">E95-D95</f>
        <v>9</v>
      </c>
    </row>
    <row r="96" customFormat="false" ht="15" hidden="false" customHeight="false" outlineLevel="0" collapsed="false">
      <c r="A96" s="4" t="s">
        <v>74</v>
      </c>
      <c r="B96" s="4" t="s">
        <v>29</v>
      </c>
      <c r="C96" s="4" t="n">
        <v>400</v>
      </c>
      <c r="D96" s="11" t="n">
        <v>0</v>
      </c>
      <c r="E96" s="11" t="n">
        <v>18</v>
      </c>
      <c r="F96" s="11" t="n">
        <f aca="false">E96-D96</f>
        <v>18</v>
      </c>
    </row>
    <row r="97" customFormat="false" ht="15" hidden="false" customHeight="false" outlineLevel="0" collapsed="false">
      <c r="A97" s="4" t="s">
        <v>74</v>
      </c>
      <c r="B97" s="4" t="s">
        <v>33</v>
      </c>
      <c r="C97" s="4" t="n">
        <v>100</v>
      </c>
      <c r="D97" s="11" t="n">
        <v>0</v>
      </c>
      <c r="E97" s="11" t="n">
        <v>14</v>
      </c>
      <c r="F97" s="11" t="n">
        <f aca="false">E97-D97</f>
        <v>14</v>
      </c>
    </row>
    <row r="98" customFormat="false" ht="15" hidden="false" customHeight="false" outlineLevel="0" collapsed="false">
      <c r="A98" s="4" t="s">
        <v>74</v>
      </c>
      <c r="B98" s="4" t="s">
        <v>33</v>
      </c>
      <c r="C98" s="4" t="n">
        <v>500</v>
      </c>
      <c r="D98" s="11" t="n">
        <v>0</v>
      </c>
      <c r="E98" s="11" t="n">
        <v>9</v>
      </c>
      <c r="F98" s="11" t="n">
        <f aca="false">E98-D98</f>
        <v>9</v>
      </c>
    </row>
    <row r="99" customFormat="false" ht="15" hidden="false" customHeight="false" outlineLevel="0" collapsed="false">
      <c r="A99" s="4" t="s">
        <v>63</v>
      </c>
      <c r="B99" s="4" t="s">
        <v>33</v>
      </c>
      <c r="C99" s="4" t="n">
        <v>100</v>
      </c>
      <c r="D99" s="11" t="n">
        <v>0</v>
      </c>
      <c r="E99" s="11" t="n">
        <v>27</v>
      </c>
      <c r="F99" s="11" t="n">
        <f aca="false">E99-D99</f>
        <v>27</v>
      </c>
    </row>
    <row r="100" customFormat="false" ht="15" hidden="false" customHeight="false" outlineLevel="0" collapsed="false">
      <c r="A100" s="4" t="s">
        <v>63</v>
      </c>
      <c r="B100" s="4" t="s">
        <v>33</v>
      </c>
      <c r="C100" s="4" t="n">
        <v>500</v>
      </c>
      <c r="D100" s="11" t="n">
        <v>0</v>
      </c>
      <c r="E100" s="11" t="n">
        <v>379</v>
      </c>
      <c r="F100" s="11" t="n">
        <f aca="false">E100-D100</f>
        <v>379</v>
      </c>
    </row>
    <row r="101" customFormat="false" ht="15" hidden="false" customHeight="false" outlineLevel="0" collapsed="false">
      <c r="A101" s="4" t="s">
        <v>64</v>
      </c>
      <c r="B101" s="4" t="s">
        <v>29</v>
      </c>
      <c r="C101" s="4" t="n">
        <v>400</v>
      </c>
      <c r="D101" s="11" t="n">
        <v>6</v>
      </c>
      <c r="E101" s="11" t="n">
        <v>6</v>
      </c>
      <c r="F101" s="11" t="n">
        <f aca="false">E101-D101</f>
        <v>0</v>
      </c>
    </row>
    <row r="102" customFormat="false" ht="15" hidden="false" customHeight="false" outlineLevel="0" collapsed="false">
      <c r="A102" s="4" t="s">
        <v>64</v>
      </c>
      <c r="B102" s="4" t="s">
        <v>33</v>
      </c>
      <c r="C102" s="4" t="n">
        <v>100</v>
      </c>
      <c r="D102" s="11" t="n">
        <v>1</v>
      </c>
      <c r="E102" s="11" t="n">
        <v>7</v>
      </c>
      <c r="F102" s="11" t="n">
        <f aca="false">E102-D102</f>
        <v>6</v>
      </c>
    </row>
    <row r="103" customFormat="false" ht="15" hidden="false" customHeight="false" outlineLevel="0" collapsed="false">
      <c r="A103" s="4" t="s">
        <v>64</v>
      </c>
      <c r="B103" s="4" t="s">
        <v>33</v>
      </c>
      <c r="C103" s="4" t="n">
        <v>500</v>
      </c>
      <c r="D103" s="11" t="n">
        <v>3</v>
      </c>
      <c r="E103" s="11" t="n">
        <v>11</v>
      </c>
      <c r="F103" s="11" t="n">
        <f aca="false">E103-D103</f>
        <v>8</v>
      </c>
    </row>
    <row r="104" customFormat="false" ht="15" hidden="false" customHeight="false" outlineLevel="0" collapsed="false">
      <c r="A104" s="4" t="s">
        <v>64</v>
      </c>
      <c r="B104" s="4" t="s">
        <v>33</v>
      </c>
      <c r="C104" s="4" t="n">
        <v>1000</v>
      </c>
      <c r="D104" s="11" t="n">
        <v>2</v>
      </c>
      <c r="E104" s="11" t="n">
        <v>7</v>
      </c>
      <c r="F104" s="11" t="n">
        <f aca="false">E104-D104</f>
        <v>5</v>
      </c>
    </row>
    <row r="105" customFormat="false" ht="15" hidden="false" customHeight="false" outlineLevel="0" collapsed="false">
      <c r="A105" s="4" t="s">
        <v>77</v>
      </c>
      <c r="B105" s="4" t="s">
        <v>33</v>
      </c>
      <c r="C105" s="4" t="n">
        <v>1000</v>
      </c>
      <c r="D105" s="11" t="n">
        <v>1</v>
      </c>
      <c r="E105" s="11" t="n">
        <v>9</v>
      </c>
      <c r="F105" s="11" t="n">
        <f aca="false">E105-D105</f>
        <v>8</v>
      </c>
    </row>
    <row r="106" customFormat="false" ht="15" hidden="false" customHeight="false" outlineLevel="0" collapsed="false">
      <c r="A106" s="4" t="s">
        <v>79</v>
      </c>
      <c r="B106" s="4" t="s">
        <v>29</v>
      </c>
      <c r="C106" s="4" t="n">
        <v>1000</v>
      </c>
      <c r="D106" s="11" t="n">
        <v>0</v>
      </c>
      <c r="E106" s="11" t="n">
        <v>4</v>
      </c>
      <c r="F106" s="11" t="n">
        <f aca="false">E106-D106</f>
        <v>4</v>
      </c>
    </row>
    <row r="107" customFormat="false" ht="15" hidden="false" customHeight="false" outlineLevel="0" collapsed="false">
      <c r="A107" s="4" t="s">
        <v>80</v>
      </c>
      <c r="B107" s="4" t="s">
        <v>29</v>
      </c>
      <c r="C107" s="4" t="n">
        <v>400</v>
      </c>
      <c r="D107" s="11" t="n">
        <v>1</v>
      </c>
      <c r="E107" s="11" t="n">
        <v>9</v>
      </c>
      <c r="F107" s="11" t="n">
        <f aca="false">E107-D107</f>
        <v>8</v>
      </c>
    </row>
    <row r="108" customFormat="false" ht="15" hidden="false" customHeight="false" outlineLevel="0" collapsed="false">
      <c r="A108" s="4" t="s">
        <v>80</v>
      </c>
      <c r="B108" s="4" t="s">
        <v>33</v>
      </c>
      <c r="C108" s="4" t="n">
        <v>100</v>
      </c>
      <c r="D108" s="11" t="n">
        <v>0</v>
      </c>
      <c r="E108" s="11" t="n">
        <v>9</v>
      </c>
      <c r="F108" s="11" t="n">
        <f aca="false">E108-D108</f>
        <v>9</v>
      </c>
    </row>
    <row r="109" customFormat="false" ht="15" hidden="false" customHeight="false" outlineLevel="0" collapsed="false">
      <c r="A109" s="4" t="s">
        <v>80</v>
      </c>
      <c r="B109" s="4" t="s">
        <v>33</v>
      </c>
      <c r="C109" s="4" t="n">
        <v>500</v>
      </c>
      <c r="D109" s="11" t="n">
        <v>0</v>
      </c>
      <c r="E109" s="11" t="n">
        <v>9</v>
      </c>
      <c r="F109" s="11" t="n">
        <f aca="false">E109-D109</f>
        <v>9</v>
      </c>
    </row>
    <row r="110" customFormat="false" ht="15" hidden="false" customHeight="false" outlineLevel="0" collapsed="false">
      <c r="A110" s="4" t="s">
        <v>65</v>
      </c>
      <c r="B110" s="4" t="s">
        <v>29</v>
      </c>
      <c r="C110" s="4" t="n">
        <v>1000</v>
      </c>
      <c r="D110" s="11" t="n">
        <v>1</v>
      </c>
      <c r="E110" s="11" t="n">
        <v>9</v>
      </c>
      <c r="F110" s="11" t="n">
        <f aca="false">E110-D110</f>
        <v>8</v>
      </c>
    </row>
    <row r="111" customFormat="false" ht="15" hidden="false" customHeight="false" outlineLevel="0" collapsed="false">
      <c r="A111" s="4" t="s">
        <v>65</v>
      </c>
      <c r="B111" s="4" t="s">
        <v>33</v>
      </c>
      <c r="C111" s="4" t="n">
        <v>500</v>
      </c>
      <c r="D111" s="11" t="n">
        <v>0</v>
      </c>
      <c r="E111" s="11" t="n">
        <v>1</v>
      </c>
      <c r="F111" s="11" t="n">
        <f aca="false">E111-D111</f>
        <v>1</v>
      </c>
    </row>
    <row r="112" customFormat="false" ht="15" hidden="false" customHeight="false" outlineLevel="0" collapsed="false">
      <c r="A112" s="4" t="s">
        <v>82</v>
      </c>
      <c r="B112" s="4" t="s">
        <v>29</v>
      </c>
      <c r="C112" s="4" t="n">
        <v>400</v>
      </c>
      <c r="D112" s="11" t="n">
        <v>0</v>
      </c>
      <c r="E112" s="11" t="n">
        <v>1</v>
      </c>
      <c r="F112" s="11" t="n">
        <f aca="false">E112-D112</f>
        <v>1</v>
      </c>
    </row>
    <row r="113" customFormat="false" ht="15" hidden="false" customHeight="false" outlineLevel="0" collapsed="false">
      <c r="A113" s="4" t="s">
        <v>82</v>
      </c>
      <c r="B113" s="4" t="s">
        <v>33</v>
      </c>
      <c r="C113" s="4" t="n">
        <v>500</v>
      </c>
      <c r="D113" s="11" t="n">
        <v>1</v>
      </c>
      <c r="E113" s="11" t="n">
        <v>10</v>
      </c>
      <c r="F113" s="11" t="n">
        <f aca="false">E113-D113</f>
        <v>9</v>
      </c>
    </row>
    <row r="114" customFormat="false" ht="15" hidden="false" customHeight="false" outlineLevel="0" collapsed="false">
      <c r="A114" s="4" t="s">
        <v>83</v>
      </c>
      <c r="B114" s="4" t="s">
        <v>29</v>
      </c>
      <c r="C114" s="4" t="n">
        <v>200</v>
      </c>
      <c r="D114" s="11" t="n">
        <v>0</v>
      </c>
      <c r="E114" s="11" t="n">
        <v>2</v>
      </c>
      <c r="F114" s="11" t="n">
        <f aca="false">E114-D114</f>
        <v>2</v>
      </c>
    </row>
    <row r="115" customFormat="false" ht="15" hidden="false" customHeight="false" outlineLevel="0" collapsed="false">
      <c r="A115" s="4" t="s">
        <v>83</v>
      </c>
      <c r="B115" s="4" t="s">
        <v>29</v>
      </c>
      <c r="C115" s="4" t="n">
        <v>400</v>
      </c>
      <c r="D115" s="11" t="n">
        <v>0</v>
      </c>
      <c r="E115" s="11" t="n">
        <v>11</v>
      </c>
      <c r="F115" s="11" t="n">
        <f aca="false">E115-D115</f>
        <v>11</v>
      </c>
    </row>
    <row r="116" customFormat="false" ht="15" hidden="false" customHeight="false" outlineLevel="0" collapsed="false">
      <c r="A116" s="4" t="s">
        <v>83</v>
      </c>
      <c r="B116" s="4" t="s">
        <v>29</v>
      </c>
      <c r="C116" s="4" t="n">
        <v>1000</v>
      </c>
      <c r="D116" s="11" t="n">
        <v>0</v>
      </c>
      <c r="E116" s="11" t="n">
        <v>4</v>
      </c>
      <c r="F116" s="11" t="n">
        <f aca="false">E116-D116</f>
        <v>4</v>
      </c>
    </row>
    <row r="117" customFormat="false" ht="15" hidden="false" customHeight="false" outlineLevel="0" collapsed="false">
      <c r="A117" s="4" t="s">
        <v>83</v>
      </c>
      <c r="B117" s="4" t="s">
        <v>33</v>
      </c>
      <c r="C117" s="4" t="n">
        <v>100</v>
      </c>
      <c r="D117" s="11" t="n">
        <v>0</v>
      </c>
      <c r="E117" s="11" t="n">
        <v>4</v>
      </c>
      <c r="F117" s="11" t="n">
        <f aca="false">E117-D117</f>
        <v>4</v>
      </c>
    </row>
    <row r="118" customFormat="false" ht="15" hidden="false" customHeight="false" outlineLevel="0" collapsed="false">
      <c r="A118" s="4" t="s">
        <v>83</v>
      </c>
      <c r="B118" s="4" t="s">
        <v>33</v>
      </c>
      <c r="C118" s="4" t="n">
        <v>500</v>
      </c>
      <c r="D118" s="11" t="n">
        <v>0</v>
      </c>
      <c r="E118" s="11" t="n">
        <v>24</v>
      </c>
      <c r="F118" s="11" t="n">
        <f aca="false">E118-D118</f>
        <v>24</v>
      </c>
    </row>
    <row r="119" customFormat="false" ht="15" hidden="false" customHeight="false" outlineLevel="0" collapsed="false">
      <c r="A119" s="4" t="s">
        <v>84</v>
      </c>
      <c r="B119" s="4" t="s">
        <v>29</v>
      </c>
      <c r="C119" s="4" t="n">
        <v>160</v>
      </c>
      <c r="D119" s="11" t="n">
        <v>0</v>
      </c>
      <c r="E119" s="11" t="n">
        <v>24</v>
      </c>
      <c r="F119" s="11" t="n">
        <f aca="false">E119-D119</f>
        <v>24</v>
      </c>
    </row>
    <row r="120" customFormat="false" ht="15" hidden="false" customHeight="false" outlineLevel="0" collapsed="false">
      <c r="A120" s="4" t="s">
        <v>84</v>
      </c>
      <c r="B120" s="4" t="s">
        <v>29</v>
      </c>
      <c r="C120" s="4" t="n">
        <v>400</v>
      </c>
      <c r="D120" s="11" t="n">
        <v>6</v>
      </c>
      <c r="E120" s="11" t="n">
        <v>24</v>
      </c>
      <c r="F120" s="11" t="n">
        <f aca="false">E120-D120</f>
        <v>18</v>
      </c>
    </row>
    <row r="121" customFormat="false" ht="15" hidden="false" customHeight="false" outlineLevel="0" collapsed="false">
      <c r="A121" s="4" t="s">
        <v>84</v>
      </c>
      <c r="B121" s="4" t="s">
        <v>29</v>
      </c>
      <c r="C121" s="4" t="n">
        <v>1000</v>
      </c>
      <c r="D121" s="11" t="n">
        <v>5</v>
      </c>
      <c r="E121" s="11" t="n">
        <v>20</v>
      </c>
      <c r="F121" s="11" t="n">
        <f aca="false">E121-D121</f>
        <v>15</v>
      </c>
    </row>
    <row r="122" customFormat="false" ht="15" hidden="false" customHeight="false" outlineLevel="0" collapsed="false">
      <c r="A122" s="4" t="s">
        <v>84</v>
      </c>
      <c r="B122" s="4" t="s">
        <v>33</v>
      </c>
      <c r="C122" s="4" t="n">
        <v>100</v>
      </c>
      <c r="D122" s="11" t="n">
        <v>0</v>
      </c>
      <c r="E122" s="11" t="n">
        <v>12</v>
      </c>
      <c r="F122" s="11" t="n">
        <f aca="false">E122-D122</f>
        <v>12</v>
      </c>
    </row>
    <row r="123" customFormat="false" ht="15" hidden="false" customHeight="false" outlineLevel="0" collapsed="false">
      <c r="A123" s="4" t="s">
        <v>84</v>
      </c>
      <c r="B123" s="4" t="s">
        <v>33</v>
      </c>
      <c r="C123" s="4" t="n">
        <v>500</v>
      </c>
      <c r="D123" s="11" t="n">
        <v>1</v>
      </c>
      <c r="E123" s="11" t="n">
        <v>40</v>
      </c>
      <c r="F123" s="11" t="n">
        <f aca="false">E123-D123</f>
        <v>39</v>
      </c>
    </row>
    <row r="124" customFormat="false" ht="15" hidden="false" customHeight="false" outlineLevel="0" collapsed="false">
      <c r="A124" s="4" t="s">
        <v>86</v>
      </c>
      <c r="B124" s="4" t="s">
        <v>29</v>
      </c>
      <c r="C124" s="4" t="n">
        <v>400</v>
      </c>
      <c r="D124" s="11" t="n">
        <v>0</v>
      </c>
      <c r="E124" s="11" t="n">
        <v>101</v>
      </c>
      <c r="F124" s="11" t="n">
        <f aca="false">E124-D124</f>
        <v>101</v>
      </c>
    </row>
    <row r="125" customFormat="false" ht="15" hidden="false" customHeight="false" outlineLevel="0" collapsed="false">
      <c r="A125" s="4" t="s">
        <v>86</v>
      </c>
      <c r="B125" s="4" t="s">
        <v>33</v>
      </c>
      <c r="C125" s="4" t="n">
        <v>500</v>
      </c>
      <c r="D125" s="11" t="n">
        <v>0</v>
      </c>
      <c r="E125" s="11" t="n">
        <v>10</v>
      </c>
      <c r="F125" s="11" t="n">
        <f aca="false">E125-D125</f>
        <v>10</v>
      </c>
    </row>
    <row r="126" customFormat="false" ht="15" hidden="false" customHeight="false" outlineLevel="0" collapsed="false">
      <c r="A126" s="4" t="s">
        <v>87</v>
      </c>
      <c r="B126" s="4" t="s">
        <v>29</v>
      </c>
      <c r="C126" s="4" t="n">
        <v>400</v>
      </c>
      <c r="D126" s="11" t="n">
        <v>0</v>
      </c>
      <c r="E126" s="11" t="n">
        <v>2</v>
      </c>
      <c r="F126" s="11" t="n">
        <f aca="false">E126-D126</f>
        <v>2</v>
      </c>
    </row>
    <row r="127" customFormat="false" ht="15" hidden="false" customHeight="false" outlineLevel="0" collapsed="false">
      <c r="A127" s="4" t="s">
        <v>87</v>
      </c>
      <c r="B127" s="4" t="s">
        <v>33</v>
      </c>
      <c r="C127" s="4" t="n">
        <v>100</v>
      </c>
      <c r="D127" s="11" t="n">
        <v>0</v>
      </c>
      <c r="E127" s="11" t="n">
        <v>2</v>
      </c>
      <c r="F127" s="11" t="n">
        <f aca="false">E127-D127</f>
        <v>2</v>
      </c>
    </row>
    <row r="128" customFormat="false" ht="15" hidden="false" customHeight="false" outlineLevel="0" collapsed="false">
      <c r="A128" s="4" t="s">
        <v>90</v>
      </c>
      <c r="B128" s="4" t="s">
        <v>29</v>
      </c>
      <c r="C128" s="4" t="n">
        <v>400</v>
      </c>
      <c r="D128" s="11" t="n">
        <v>0</v>
      </c>
      <c r="E128" s="11" t="n">
        <v>63</v>
      </c>
      <c r="F128" s="11" t="n">
        <f aca="false">E128-D128</f>
        <v>63</v>
      </c>
    </row>
    <row r="129" customFormat="false" ht="15" hidden="false" customHeight="false" outlineLevel="0" collapsed="false">
      <c r="A129" s="4" t="s">
        <v>90</v>
      </c>
      <c r="B129" s="4" t="s">
        <v>33</v>
      </c>
      <c r="C129" s="4" t="n">
        <v>100</v>
      </c>
      <c r="D129" s="11" t="n">
        <v>0</v>
      </c>
      <c r="E129" s="11" t="n">
        <v>48</v>
      </c>
      <c r="F129" s="11" t="n">
        <f aca="false">E129-D129</f>
        <v>48</v>
      </c>
    </row>
    <row r="130" customFormat="false" ht="15" hidden="false" customHeight="false" outlineLevel="0" collapsed="false">
      <c r="A130" s="9" t="s">
        <v>107</v>
      </c>
      <c r="D130" s="10" t="n">
        <f aca="false">SUM(D5:D129)</f>
        <v>206</v>
      </c>
      <c r="E130" s="10" t="n">
        <f aca="false">SUM(E5:E129)</f>
        <v>3896</v>
      </c>
      <c r="F130" s="10" t="n">
        <f aca="false">SUM(F5:F129)</f>
        <v>3690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2026-10-26T17:52:54Z</dcterms:created>
  <dc:creator>openpyxl</dc:creator>
  <dc:description/>
  <dc:language>en-US</dc:language>
  <cp:lastModifiedBy/>
  <dcterms:modified xsi:type="dcterms:W3CDTF">2026-10-26T17:52:54Z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