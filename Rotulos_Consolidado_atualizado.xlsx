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Cotação" sheetId="2" state="visible" r:id="rId4"/>
    <sheet name="Versões para Orçamento" sheetId="3" state="visible" r:id="rId5"/>
    <sheet name="Versões por Fragrância" sheetId="4" state="visible" r:id="rId6"/>
    <sheet name="Por Fragrância" sheetId="5" state="visible" r:id="rId7"/>
    <sheet name="Resumo por Tipo" sheetId="6" state="visible" r:id="rId8"/>
    <sheet name="B2B Antes x Depois" sheetId="7" state="visible" r:id="rId9"/>
  </sheets>
  <definedNames>
    <definedName function="false" hidden="true" localSheetId="3" name="_xlnm._FilterDatabase" vbProcedure="false">'Versões por Fragrância'!$A$4:$K$60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<sst xmlns="http://schemas.openxmlformats.org/spreadsheetml/2006/main" count="4474" uniqueCount="352">
  <si>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</si>
  <si>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</si>
  <si>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</si>
  <si>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</si>
  <si>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</si>
  <si>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</si>
  <si>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</si>
  <si>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</si>
  <si>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</si>
  <si>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</si>
  <si>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</si>
  <si>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</si>
  <si>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</si>
  <si>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</si>
  <si>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</si>
  <si>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</si>
  <si>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</si>
  <si>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6,5 x 5 cm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</si>
  <si>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</si>
  <si>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</si>
  <si>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</si>
  <si>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5 x 10 cm (frente e verso)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</si>
  <si>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</si>
  <si>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</si>
  <si>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</si>
  <si>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</si>
  <si>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</si>
  <si>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</si>
  <si>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</si>
  <si>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</si>
  <si>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</si>
  <si>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</si>
  <si>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</si>
  <si>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</si>
  <si>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</si>
  <si>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</si>
  <si>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</si>
  <si>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</si>
  <si>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</si>
  <si>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</si>
  <si>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</si>
  <si>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</si>
  <si>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</si>
  <si>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</si>
  <si>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</si>
  <si>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</si>
  <si>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</si>
  <si>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</si>
  <si>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</si>
  <si>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</si>
  <si>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</si>
  <si>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</si>
  <si>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</si>
  <si>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</si>
  <si>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</si>
  <si>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</si>
  <si>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</si>
  <si>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</si>
  <si>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</si>
  <si>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</si>
  <si>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</si>
  <si>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</si>
  <si>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</si>
  <si>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</si>
  <si>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</si>
  <si>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</si>
  <si>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</si>
  <si>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</si>
  <si>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</si>
  <si>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</si>
  <si>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</si>
  <si>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</si>
  <si>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</si>
  <si>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</si>
  <si>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</si>
  <si>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</si>
  <si>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</si>
  <si>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</si>
  <si>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</si>
  <si>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</si>
  <si>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</si>
  <si>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</si>
  <si>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</si>
  <si>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</si>
  <si>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</si>
  <si>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</si>
  <si>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</si>
  <si>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</si>
  <si>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</si>
  <si>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</si>
  <si>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</si>
  <si>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</si>
  <si>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</si>
  <si>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</si>
  <si>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</si>
  <si>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Cotação de rótulos – consumo por versão</t>
  </si>
  <si>
    <t xml:space="preserve">Uma linha = uma versão (arte) a cotar. B2C = quantidade do Plano de Produção (lote). B2B = remessas de refil no período abaixo, convertidas em consumo mensal. Amarelo = parâmetro editável.</t>
  </si>
  <si>
    <t xml:space="preserve">Início do período B2B</t>
  </si>
  <si>
    <t xml:space="preserve">Fim do período B2B</t>
  </si>
  <si>
    <t xml:space="preserve">Meses no período</t>
  </si>
  <si>
    <t xml:space="preserve">Meses de cobertura B2B a cotar</t>
  </si>
  <si>
    <t xml:space="preserve">← altere (ex.: 3, 6, 12) para recalcular a quantidade B2B da cotação</t>
  </si>
  <si>
    <t xml:space="preserve">Resumo para a gráfica: versões e consumo por material e tamanho</t>
  </si>
  <si>
    <t xml:space="preserve">Material</t>
  </si>
  <si>
    <t xml:space="preserve">Nº de versões a cotar</t>
  </si>
  <si>
    <t xml:space="preserve">Consumo B2C (lote)</t>
  </si>
  <si>
    <t xml:space="preserve">Consumo B2B no período</t>
  </si>
  <si>
    <t xml:space="preserve">Consumo B2B mensal</t>
  </si>
  <si>
    <t xml:space="preserve">Qtd. B2B p/ cobertura</t>
  </si>
  <si>
    <t xml:space="preserve">Qtd. total p/ cotação</t>
  </si>
  <si>
    <t xml:space="preserve">A definir</t>
  </si>
  <si>
    <t xml:space="preserve">Total</t>
  </si>
  <si>
    <t xml:space="preserve">Detalhe por versão</t>
  </si>
  <si>
    <t xml:space="preserve">Cód. versão</t>
  </si>
  <si>
    <t xml:space="preserve">Canal</t>
  </si>
  <si>
    <t xml:space="preserve">Formatos</t>
  </si>
  <si>
    <t xml:space="preserve">V001</t>
  </si>
  <si>
    <t xml:space="preserve">Perfume de Ambientes – Kit Varetas + Perfume de Ambientes – Válvula Spray</t>
  </si>
  <si>
    <t xml:space="preserve">V002</t>
  </si>
  <si>
    <t xml:space="preserve">V003</t>
  </si>
  <si>
    <t xml:space="preserve">V004</t>
  </si>
  <si>
    <t xml:space="preserve">V005</t>
  </si>
  <si>
    <t xml:space="preserve">V006</t>
  </si>
  <si>
    <t xml:space="preserve">V007</t>
  </si>
  <si>
    <t xml:space="preserve">V008</t>
  </si>
  <si>
    <t xml:space="preserve">V009</t>
  </si>
  <si>
    <t xml:space="preserve">V010</t>
  </si>
  <si>
    <t xml:space="preserve">V011</t>
  </si>
  <si>
    <t xml:space="preserve">V012</t>
  </si>
  <si>
    <t xml:space="preserve">V013</t>
  </si>
  <si>
    <t xml:space="preserve">V014</t>
  </si>
  <si>
    <t xml:space="preserve">V015</t>
  </si>
  <si>
    <t xml:space="preserve">V016</t>
  </si>
  <si>
    <t xml:space="preserve">V017</t>
  </si>
  <si>
    <t xml:space="preserve">V018</t>
  </si>
  <si>
    <t xml:space="preserve">V019</t>
  </si>
  <si>
    <t xml:space="preserve">V020</t>
  </si>
  <si>
    <t xml:space="preserve">V021</t>
  </si>
  <si>
    <t xml:space="preserve">V022</t>
  </si>
  <si>
    <t xml:space="preserve">V023</t>
  </si>
  <si>
    <t xml:space="preserve">V024</t>
  </si>
  <si>
    <t xml:space="preserve">V025</t>
  </si>
  <si>
    <t xml:space="preserve">V026</t>
  </si>
  <si>
    <t xml:space="preserve">V027</t>
  </si>
  <si>
    <t xml:space="preserve">V028</t>
  </si>
  <si>
    <t xml:space="preserve">V029</t>
  </si>
  <si>
    <t xml:space="preserve">V030</t>
  </si>
  <si>
    <t xml:space="preserve">V031</t>
  </si>
  <si>
    <t xml:space="preserve">V032</t>
  </si>
  <si>
    <t xml:space="preserve">V033</t>
  </si>
  <si>
    <t xml:space="preserve">V034</t>
  </si>
  <si>
    <t xml:space="preserve">V035</t>
  </si>
  <si>
    <t xml:space="preserve">V036</t>
  </si>
  <si>
    <t xml:space="preserve">V037</t>
  </si>
  <si>
    <t xml:space="preserve">V038</t>
  </si>
  <si>
    <t xml:space="preserve">V039</t>
  </si>
  <si>
    <t xml:space="preserve">V040</t>
  </si>
  <si>
    <t xml:space="preserve">V041</t>
  </si>
  <si>
    <t xml:space="preserve">V042</t>
  </si>
  <si>
    <t xml:space="preserve">V043</t>
  </si>
  <si>
    <t xml:space="preserve">V044</t>
  </si>
  <si>
    <t xml:space="preserve">V045</t>
  </si>
  <si>
    <t xml:space="preserve">V046</t>
  </si>
  <si>
    <t xml:space="preserve">V047</t>
  </si>
  <si>
    <t xml:space="preserve">V048</t>
  </si>
  <si>
    <t xml:space="preserve">V049</t>
  </si>
  <si>
    <t xml:space="preserve">V050</t>
  </si>
  <si>
    <t xml:space="preserve">V051</t>
  </si>
  <si>
    <t xml:space="preserve">V052</t>
  </si>
  <si>
    <t xml:space="preserve">V053</t>
  </si>
  <si>
    <t xml:space="preserve">V054</t>
  </si>
  <si>
    <t xml:space="preserve">V055</t>
  </si>
  <si>
    <t xml:space="preserve">V056</t>
  </si>
  <si>
    <t xml:space="preserve">V057</t>
  </si>
  <si>
    <t xml:space="preserve">V058</t>
  </si>
  <si>
    <t xml:space="preserve">V059</t>
  </si>
  <si>
    <t xml:space="preserve">V060</t>
  </si>
  <si>
    <t xml:space="preserve">V061</t>
  </si>
  <si>
    <t xml:space="preserve">V062</t>
  </si>
  <si>
    <t xml:space="preserve">V063</t>
  </si>
  <si>
    <t xml:space="preserve">V064</t>
  </si>
  <si>
    <t xml:space="preserve">V065</t>
  </si>
  <si>
    <t xml:space="preserve">V066</t>
  </si>
  <si>
    <t xml:space="preserve">V067</t>
  </si>
  <si>
    <t xml:space="preserve">V068</t>
  </si>
  <si>
    <t xml:space="preserve">V069</t>
  </si>
  <si>
    <t xml:space="preserve">V070</t>
  </si>
  <si>
    <t xml:space="preserve">V071</t>
  </si>
  <si>
    <t xml:space="preserve">V072</t>
  </si>
  <si>
    <t xml:space="preserve">V073</t>
  </si>
  <si>
    <t xml:space="preserve">V074</t>
  </si>
  <si>
    <t xml:space="preserve">V075</t>
  </si>
  <si>
    <t xml:space="preserve">B2B e B2C</t>
  </si>
  <si>
    <t xml:space="preserve">Perfume para Ambientes + Perfume de Ambientes – Refil PET</t>
  </si>
  <si>
    <t xml:space="preserve">V076</t>
  </si>
  <si>
    <t xml:space="preserve">V077</t>
  </si>
  <si>
    <t xml:space="preserve">V078</t>
  </si>
  <si>
    <t xml:space="preserve">V079</t>
  </si>
  <si>
    <t xml:space="preserve">V080</t>
  </si>
  <si>
    <t xml:space="preserve">V081</t>
  </si>
  <si>
    <t xml:space="preserve">V082</t>
  </si>
  <si>
    <t xml:space="preserve">V083</t>
  </si>
  <si>
    <t xml:space="preserve">V084</t>
  </si>
  <si>
    <t xml:space="preserve">V085</t>
  </si>
  <si>
    <t xml:space="preserve">V086</t>
  </si>
  <si>
    <t xml:space="preserve">V087</t>
  </si>
  <si>
    <t xml:space="preserve">V088</t>
  </si>
  <si>
    <t xml:space="preserve">V089</t>
  </si>
  <si>
    <t xml:space="preserve">V090</t>
  </si>
  <si>
    <t xml:space="preserve">V091</t>
  </si>
  <si>
    <t xml:space="preserve">V092</t>
  </si>
  <si>
    <t xml:space="preserve">V093</t>
  </si>
  <si>
    <t xml:space="preserve">V094</t>
  </si>
  <si>
    <t xml:space="preserve">V095</t>
  </si>
  <si>
    <t xml:space="preserve">V096</t>
  </si>
  <si>
    <t xml:space="preserve">V097</t>
  </si>
  <si>
    <t xml:space="preserve">V098</t>
  </si>
  <si>
    <t xml:space="preserve">V099</t>
  </si>
  <si>
    <t xml:space="preserve">V100</t>
  </si>
  <si>
    <t xml:space="preserve">V101</t>
  </si>
  <si>
    <t xml:space="preserve">V102</t>
  </si>
  <si>
    <t xml:space="preserve">V103</t>
  </si>
  <si>
    <t xml:space="preserve">V104</t>
  </si>
  <si>
    <t xml:space="preserve">V105</t>
  </si>
  <si>
    <t xml:space="preserve">V106</t>
  </si>
  <si>
    <t xml:space="preserve">V107</t>
  </si>
  <si>
    <t xml:space="preserve">V108</t>
  </si>
  <si>
    <t xml:space="preserve">V109</t>
  </si>
  <si>
    <t xml:space="preserve">Aromatizador de Ambientes + Aromatizador (Refil)</t>
  </si>
  <si>
    <t xml:space="preserve">V110</t>
  </si>
  <si>
    <t xml:space="preserve">V111</t>
  </si>
  <si>
    <t xml:space="preserve">V112</t>
  </si>
  <si>
    <t xml:space="preserve">V113</t>
  </si>
  <si>
    <t xml:space="preserve">V114</t>
  </si>
  <si>
    <t xml:space="preserve">V115</t>
  </si>
  <si>
    <t xml:space="preserve">V116</t>
  </si>
  <si>
    <t xml:space="preserve">V117</t>
  </si>
  <si>
    <t xml:space="preserve">V118</t>
  </si>
  <si>
    <t xml:space="preserve">V119</t>
  </si>
  <si>
    <t xml:space="preserve">V120</t>
  </si>
  <si>
    <t xml:space="preserve">V121</t>
  </si>
  <si>
    <t xml:space="preserve">V122</t>
  </si>
  <si>
    <t xml:space="preserve">V123</t>
  </si>
  <si>
    <t xml:space="preserve">V124</t>
  </si>
  <si>
    <t xml:space="preserve">V125</t>
  </si>
  <si>
    <t xml:space="preserve">V126</t>
  </si>
  <si>
    <t xml:space="preserve">V127</t>
  </si>
  <si>
    <t xml:space="preserve">V128</t>
  </si>
  <si>
    <t xml:space="preserve">V129</t>
  </si>
  <si>
    <t xml:space="preserve">V130</t>
  </si>
  <si>
    <t xml:space="preserve">V131</t>
  </si>
  <si>
    <t xml:space="preserve">V132</t>
  </si>
  <si>
    <t xml:space="preserve">V133</t>
  </si>
  <si>
    <t xml:space="preserve">V134</t>
  </si>
  <si>
    <t xml:space="preserve">V135</t>
  </si>
  <si>
    <t xml:space="preserve">V136</t>
  </si>
  <si>
    <t xml:space="preserve">V137</t>
  </si>
  <si>
    <t xml:space="preserve">V138</t>
  </si>
  <si>
    <t xml:space="preserve">V139</t>
  </si>
  <si>
    <t xml:space="preserve">V140</t>
  </si>
  <si>
    <t xml:space="preserve">V141</t>
  </si>
  <si>
    <t xml:space="preserve">V142</t>
  </si>
  <si>
    <t xml:space="preserve">V143</t>
  </si>
  <si>
    <t xml:space="preserve">V144</t>
  </si>
  <si>
    <t xml:space="preserve">V145</t>
  </si>
  <si>
    <t xml:space="preserve">V146</t>
  </si>
  <si>
    <t xml:space="preserve">V147</t>
  </si>
  <si>
    <t xml:space="preserve">V148</t>
  </si>
  <si>
    <t xml:space="preserve">V149</t>
  </si>
  <si>
    <t xml:space="preserve">V150</t>
  </si>
  <si>
    <t xml:space="preserve">V151</t>
  </si>
  <si>
    <t xml:space="preserve">V152</t>
  </si>
  <si>
    <t xml:space="preserve">V153</t>
  </si>
  <si>
    <t xml:space="preserve">V154</t>
  </si>
  <si>
    <t xml:space="preserve">V155</t>
  </si>
  <si>
    <t xml:space="preserve">V156</t>
  </si>
  <si>
    <t xml:space="preserve">V157</t>
  </si>
  <si>
    <t xml:space="preserve">V158</t>
  </si>
  <si>
    <t xml:space="preserve">V159</t>
  </si>
  <si>
    <t xml:space="preserve">V160</t>
  </si>
  <si>
    <t xml:space="preserve">V161</t>
  </si>
  <si>
    <t xml:space="preserve">V162</t>
  </si>
  <si>
    <t xml:space="preserve">V163</t>
  </si>
  <si>
    <t xml:space="preserve">V164</t>
  </si>
  <si>
    <t xml:space="preserve">V165</t>
  </si>
  <si>
    <t xml:space="preserve">V166</t>
  </si>
  <si>
    <t xml:space="preserve">V167</t>
  </si>
  <si>
    <t xml:space="preserve">V168</t>
  </si>
  <si>
    <t xml:space="preserve">V169</t>
  </si>
  <si>
    <t xml:space="preserve">V170</t>
  </si>
  <si>
    <t xml:space="preserve">V171</t>
  </si>
  <si>
    <t xml:space="preserve">V172</t>
  </si>
  <si>
    <t xml:space="preserve">V173</t>
  </si>
  <si>
    <t xml:space="preserve">V174</t>
  </si>
  <si>
    <t xml:space="preserve">V175</t>
  </si>
  <si>
    <t xml:space="preserve">V176</t>
  </si>
  <si>
    <t xml:space="preserve">V177</t>
  </si>
  <si>
    <t xml:space="preserve">V178</t>
  </si>
  <si>
    <t xml:space="preserve">V179</t>
  </si>
  <si>
    <t xml:space="preserve">V180</t>
  </si>
  <si>
    <t xml:space="preserve">V181</t>
  </si>
  <si>
    <t xml:space="preserve">V182</t>
  </si>
  <si>
    <t xml:space="preserve">V183</t>
  </si>
  <si>
    <t xml:space="preserve">V184</t>
  </si>
  <si>
    <t xml:space="preserve">V185</t>
  </si>
  <si>
    <t xml:space="preserve">V186</t>
  </si>
  <si>
    <t xml:space="preserve">V187</t>
  </si>
  <si>
    <t xml:space="preserve">V188</t>
  </si>
  <si>
    <t xml:space="preserve">Rótulo 5 x 10 cm (frente e verso): quantidades = nº de frascos; se forem 2 rótulos por frasco, dobrar na cotação.</t>
  </si>
  <si>
    <t xml:space="preserve">Versões de rótulo para orçamento – por material, tamanho e canal</t>
  </si>
  <si>
    <t xml:space="preserve">Versão = arte única (fragrância × concentração × volume) no mesmo material e tamanho. Fórmulas sobre as abas Por Fragrância e Rótulos.</t>
  </si>
  <si>
    <t xml:space="preserve">Material / tipo</t>
  </si>
  <si>
    <t xml:space="preserve">Nº de versões (artes)</t>
  </si>
  <si>
    <t xml:space="preserve">Qtd. total de rótulos</t>
  </si>
  <si>
    <t xml:space="preserve">Menor tiragem por versão</t>
  </si>
  <si>
    <t xml:space="preserve">Maior tiragem por versão</t>
  </si>
  <si>
    <t xml:space="preserve">Média por versão</t>
  </si>
  <si>
    <t xml:space="preserve">Nº versões se separar formato e canal</t>
  </si>
  <si>
    <t xml:space="preserve">Resumo por material e tamanho (todos os canais)</t>
  </si>
  <si>
    <t xml:space="preserve">"Nº versões se separar formato e canal": conta cada linha da aba Rótulos como arte própria (ex.: Válvula Spray e Kit Varetas com artes diferentes; mesmo rótulo B2B e B2C com artes diferentes). Linhas "B2B e B2C" mostram "-" nessa coluna porque já estão contadas nas linhas B2B e B2C.</t>
  </si>
  <si>
    <t xml:space="preserve">Rótulo 5 x 10 cm (frente e verso): quantidade = nº de frascos; se forem 2 rótulos por frasco, dobrar no orçamento.</t>
  </si>
  <si>
    <t xml:space="preserve">Versões de rótulo por fragrância</t>
  </si>
  <si>
    <t xml:space="preserve">Cada número = quantas artes diferentes a fragrância tem naquele material e tamanho (concentrações e volumes distintos). Fórmulas sobre a aba Por Fragrância.</t>
  </si>
  <si>
    <t xml:space="preserve">Transparente
5 x 10 cm (frente e verso)</t>
  </si>
  <si>
    <t xml:space="preserve">Transparente
6,5 x 5 cm</t>
  </si>
  <si>
    <t xml:space="preserve">Vinil ou Bopp
13 x 5 cm</t>
  </si>
  <si>
    <t xml:space="preserve">Vinil ou Bopp
18 x 6,5 cm</t>
  </si>
  <si>
    <t xml:space="preserve">Vinil ou Bopp
22 x 8 cm</t>
  </si>
  <si>
    <t xml:space="preserve">Vinil ou Bopp
28 x 10,5 cm</t>
  </si>
  <si>
    <t xml:space="preserve">Vinil ou Bopp
A definir</t>
  </si>
  <si>
    <t xml:space="preserve">Total de versões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</si>
  <si>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</si>
  <si>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</si>
  <si>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</si>
  <si>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Qtd. B2C</t>
  </si>
  <si>
    <t xml:space="preserve">Qtd. B2B</t>
  </si>
  <si>
    <t xml:space="preserve">Quantidade total</t>
  </si>
  <si>
    <t xml:space="preserve">Amarelo = mesmo rótulo usado no B2C e no B2B.</t>
  </si>
  <si>
    <t xml:space="preserve">Quantidade de rótulos por tipo, volume e tamanho</t>
  </si>
  <si>
    <t xml:space="preserve">Versão = arte única (fragrância × concentração × volume) no mesmo material e tamanho (aba Por Fragrância). Quantidades da aba Rótulos.</t>
  </si>
  <si>
    <t xml:space="preserve">Tipo de rótulo</t>
  </si>
  <si>
    <t xml:space="preserve">Nº de versões de rótulo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</si>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</sst>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dd/mm/yyyy"/>
    <numFmt numFmtId="167" formatCode="0.0"/>
    <numFmt numFmtId="168" formatCode="#,##0;\-#,##0;\-"/>
    <numFmt numFmtId="169" formatCode="#,##0.0;\-#,##0.0;\-"/>
    <numFmt numFmtId="170" formatCode="#,##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Cotacao" displayName="Cotacao" ref="A22:M210" headerRowCount="1" totalsRowCount="0" totalsRowShown="0">
  <autoFilter ref="A22:M210"/>
  <tableColumns count="13">
    <tableColumn id="1" name="Cód. versão"/>
    <tableColumn id="2" name="Fragrância"/>
    <tableColumn id="3" name="Concentração"/>
    <tableColumn id="4" name="Volume (ml)"/>
    <tableColumn id="5" name="Canal"/>
    <tableColumn id="6" name="Material"/>
    <tableColumn id="7" name="Tamanho"/>
    <tableColumn id="8" name="Formatos"/>
    <tableColumn id="9" name="Consumo B2C (lote)"/>
    <tableColumn id="10" name="Consumo B2B no período"/>
    <tableColumn id="11" name="Consumo B2B mensal"/>
    <tableColumn id="12" name="Qtd. B2B p/ cobertura"/>
    <tableColumn id="13" name="Qtd. total p/ cotação"/>
  </tableColumns>
</table>
</file>

<file path=xl/tables/table3.xml><?xml version="1.0" encoding="utf-8"?>
<table xmlns="http://schemas.openxmlformats.org/spreadsheetml/2006/main" id="3" name="PorFragrancia" displayName="PorFragrancia" ref="A4:J192" headerRowCount="1" totalsRowCount="0" totalsRowShown="0">
  <autoFilter ref="A4:J192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4.xml><?xml version="1.0" encoding="utf-8"?>
<table xmlns="http://schemas.openxmlformats.org/spreadsheetml/2006/main" id="4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 t="s">
        <v>17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19</v>
      </c>
      <c r="E6" s="4" t="s">
        <v>20</v>
      </c>
      <c r="F6" s="5" t="s">
        <v>15</v>
      </c>
      <c r="G6" s="6" t="n">
        <v>18</v>
      </c>
      <c r="H6" s="4" t="s">
        <v>16</v>
      </c>
      <c r="I6" s="4" t="s">
        <v>21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22</v>
      </c>
      <c r="E7" s="4" t="s">
        <v>23</v>
      </c>
      <c r="F7" s="5" t="s">
        <v>15</v>
      </c>
      <c r="G7" s="6" t="n">
        <v>12</v>
      </c>
      <c r="H7" s="4" t="s">
        <v>24</v>
      </c>
      <c r="I7" s="4" t="s">
        <v>25</v>
      </c>
    </row>
    <row r="8" customFormat="false" ht="15" hidden="false" customHeight="false" outlineLevel="0" collapsed="false">
      <c r="A8" s="4" t="s">
        <v>11</v>
      </c>
      <c r="B8" s="4" t="s">
        <v>18</v>
      </c>
      <c r="C8" s="4" t="n">
        <v>250</v>
      </c>
      <c r="D8" s="4" t="s">
        <v>26</v>
      </c>
      <c r="E8" s="4" t="s">
        <v>27</v>
      </c>
      <c r="F8" s="5" t="s">
        <v>15</v>
      </c>
      <c r="G8" s="6" t="n">
        <v>18</v>
      </c>
      <c r="H8" s="4" t="s">
        <v>16</v>
      </c>
      <c r="I8" s="4" t="s">
        <v>21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160</v>
      </c>
      <c r="D9" s="4" t="s">
        <v>22</v>
      </c>
      <c r="E9" s="4" t="s">
        <v>29</v>
      </c>
      <c r="F9" s="7" t="s">
        <v>30</v>
      </c>
      <c r="G9" s="6" t="n">
        <v>29</v>
      </c>
      <c r="H9" s="4" t="s">
        <v>24</v>
      </c>
      <c r="I9" s="8"/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400</v>
      </c>
      <c r="D10" s="4" t="s">
        <v>22</v>
      </c>
      <c r="E10" s="4" t="s">
        <v>29</v>
      </c>
      <c r="F10" s="7" t="s">
        <v>30</v>
      </c>
      <c r="G10" s="6" t="n">
        <v>55</v>
      </c>
      <c r="H10" s="4" t="s">
        <v>24</v>
      </c>
      <c r="I10" s="4" t="s">
        <v>31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1000</v>
      </c>
      <c r="D11" s="4" t="s">
        <v>22</v>
      </c>
      <c r="E11" s="4" t="s">
        <v>29</v>
      </c>
      <c r="F11" s="7" t="s">
        <v>30</v>
      </c>
      <c r="G11" s="6" t="n">
        <v>21</v>
      </c>
      <c r="H11" s="4" t="s">
        <v>24</v>
      </c>
      <c r="I11" s="4" t="s">
        <v>32</v>
      </c>
    </row>
    <row r="12" customFormat="false" ht="15" hidden="false" customHeight="false" outlineLevel="0" collapsed="false">
      <c r="A12" s="4" t="s">
        <v>28</v>
      </c>
      <c r="B12" s="4" t="s">
        <v>29</v>
      </c>
      <c r="C12" s="4" t="n">
        <v>5000</v>
      </c>
      <c r="D12" s="4" t="s">
        <v>22</v>
      </c>
      <c r="E12" s="4" t="s">
        <v>29</v>
      </c>
      <c r="F12" s="7" t="s">
        <v>30</v>
      </c>
      <c r="G12" s="6" t="n">
        <v>28</v>
      </c>
      <c r="H12" s="4" t="s">
        <v>24</v>
      </c>
      <c r="I12" s="8"/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100</v>
      </c>
      <c r="D13" s="4" t="s">
        <v>22</v>
      </c>
      <c r="E13" s="4" t="s">
        <v>33</v>
      </c>
      <c r="F13" s="7" t="s">
        <v>30</v>
      </c>
      <c r="G13" s="6" t="n">
        <v>19</v>
      </c>
      <c r="H13" s="4" t="s">
        <v>24</v>
      </c>
      <c r="I13" s="4" t="s">
        <v>34</v>
      </c>
    </row>
    <row r="14" customFormat="false" ht="15" hidden="false" customHeight="false" outlineLevel="0" collapsed="false">
      <c r="A14" s="4" t="s">
        <v>28</v>
      </c>
      <c r="B14" s="4" t="s">
        <v>33</v>
      </c>
      <c r="C14" s="4" t="n">
        <v>500</v>
      </c>
      <c r="D14" s="4" t="s">
        <v>22</v>
      </c>
      <c r="E14" s="4" t="s">
        <v>33</v>
      </c>
      <c r="F14" s="7" t="s">
        <v>30</v>
      </c>
      <c r="G14" s="6" t="n">
        <v>76</v>
      </c>
      <c r="H14" s="4" t="s">
        <v>24</v>
      </c>
      <c r="I14" s="4" t="s">
        <v>31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 t="s">
        <v>17</v>
      </c>
    </row>
    <row r="16" customFormat="false" ht="15" hidden="false" customHeight="false" outlineLevel="0" collapsed="false">
      <c r="A16" s="4" t="s">
        <v>28</v>
      </c>
      <c r="B16" s="4" t="s">
        <v>12</v>
      </c>
      <c r="C16" s="4" t="n">
        <v>500</v>
      </c>
      <c r="D16" s="4" t="s">
        <v>22</v>
      </c>
      <c r="E16" s="4" t="s">
        <v>35</v>
      </c>
      <c r="F16" s="5" t="s">
        <v>15</v>
      </c>
      <c r="G16" s="6" t="n">
        <v>10</v>
      </c>
      <c r="H16" s="4" t="s">
        <v>24</v>
      </c>
      <c r="I16" s="4" t="s">
        <v>31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15</v>
      </c>
      <c r="D17" s="4" t="s">
        <v>13</v>
      </c>
      <c r="E17" s="4" t="s">
        <v>36</v>
      </c>
      <c r="F17" s="5" t="s">
        <v>15</v>
      </c>
      <c r="G17" s="6" t="n">
        <v>100</v>
      </c>
      <c r="H17" s="4" t="s">
        <v>16</v>
      </c>
      <c r="I17" s="4" t="s">
        <v>17</v>
      </c>
    </row>
    <row r="18" customFormat="false" ht="15" hidden="false" customHeight="false" outlineLevel="0" collapsed="false">
      <c r="A18" s="4" t="s">
        <v>28</v>
      </c>
      <c r="B18" s="4" t="s">
        <v>29</v>
      </c>
      <c r="C18" s="4" t="n">
        <v>100</v>
      </c>
      <c r="D18" s="4" t="s">
        <v>22</v>
      </c>
      <c r="E18" s="4" t="s">
        <v>36</v>
      </c>
      <c r="F18" s="5" t="s">
        <v>15</v>
      </c>
      <c r="G18" s="6" t="n">
        <v>30</v>
      </c>
      <c r="H18" s="4" t="s">
        <v>24</v>
      </c>
      <c r="I18" s="4" t="s">
        <v>34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19</v>
      </c>
      <c r="E19" s="4" t="s">
        <v>20</v>
      </c>
      <c r="F19" s="5" t="s">
        <v>15</v>
      </c>
      <c r="G19" s="6" t="n">
        <v>8</v>
      </c>
      <c r="H19" s="4" t="s">
        <v>16</v>
      </c>
      <c r="I19" s="4" t="s">
        <v>21</v>
      </c>
    </row>
    <row r="20" customFormat="false" ht="15" hidden="false" customHeight="false" outlineLevel="0" collapsed="false">
      <c r="A20" s="4" t="s">
        <v>28</v>
      </c>
      <c r="B20" s="4" t="s">
        <v>18</v>
      </c>
      <c r="C20" s="4" t="n">
        <v>250</v>
      </c>
      <c r="D20" s="4" t="s">
        <v>22</v>
      </c>
      <c r="E20" s="4" t="s">
        <v>23</v>
      </c>
      <c r="F20" s="5" t="s">
        <v>15</v>
      </c>
      <c r="G20" s="6" t="n">
        <v>2</v>
      </c>
      <c r="H20" s="4" t="s">
        <v>24</v>
      </c>
      <c r="I20" s="4" t="s">
        <v>25</v>
      </c>
    </row>
    <row r="21" customFormat="false" ht="15" hidden="false" customHeight="false" outlineLevel="0" collapsed="false">
      <c r="A21" s="4" t="s">
        <v>28</v>
      </c>
      <c r="B21" s="4" t="s">
        <v>18</v>
      </c>
      <c r="C21" s="4" t="n">
        <v>250</v>
      </c>
      <c r="D21" s="4" t="s">
        <v>26</v>
      </c>
      <c r="E21" s="4" t="s">
        <v>27</v>
      </c>
      <c r="F21" s="5" t="s">
        <v>15</v>
      </c>
      <c r="G21" s="6" t="n">
        <v>8</v>
      </c>
      <c r="H21" s="4" t="s">
        <v>16</v>
      </c>
      <c r="I21" s="4" t="s">
        <v>21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400</v>
      </c>
      <c r="D22" s="4" t="s">
        <v>22</v>
      </c>
      <c r="E22" s="4" t="s">
        <v>29</v>
      </c>
      <c r="F22" s="7" t="s">
        <v>30</v>
      </c>
      <c r="G22" s="6" t="n">
        <v>4</v>
      </c>
      <c r="H22" s="4" t="s">
        <v>24</v>
      </c>
      <c r="I22" s="4" t="s">
        <v>31</v>
      </c>
    </row>
    <row r="23" customFormat="false" ht="15" hidden="false" customHeight="false" outlineLevel="0" collapsed="false">
      <c r="A23" s="4" t="s">
        <v>37</v>
      </c>
      <c r="B23" s="4" t="s">
        <v>29</v>
      </c>
      <c r="C23" s="4" t="n">
        <v>1000</v>
      </c>
      <c r="D23" s="4" t="s">
        <v>22</v>
      </c>
      <c r="E23" s="4" t="s">
        <v>29</v>
      </c>
      <c r="F23" s="7" t="s">
        <v>30</v>
      </c>
      <c r="G23" s="6" t="n">
        <v>15</v>
      </c>
      <c r="H23" s="4" t="s">
        <v>24</v>
      </c>
      <c r="I23" s="4" t="s">
        <v>32</v>
      </c>
    </row>
    <row r="24" customFormat="false" ht="15" hidden="false" customHeight="false" outlineLevel="0" collapsed="false">
      <c r="A24" s="4" t="s">
        <v>37</v>
      </c>
      <c r="B24" s="4" t="s">
        <v>29</v>
      </c>
      <c r="C24" s="4" t="n">
        <v>5000</v>
      </c>
      <c r="D24" s="4" t="s">
        <v>22</v>
      </c>
      <c r="E24" s="4" t="s">
        <v>29</v>
      </c>
      <c r="F24" s="7" t="s">
        <v>30</v>
      </c>
      <c r="G24" s="6" t="n">
        <v>8</v>
      </c>
      <c r="H24" s="4" t="s">
        <v>24</v>
      </c>
      <c r="I24" s="8"/>
    </row>
    <row r="25" customFormat="false" ht="15" hidden="false" customHeight="false" outlineLevel="0" collapsed="false">
      <c r="A25" s="4" t="s">
        <v>38</v>
      </c>
      <c r="B25" s="4" t="s">
        <v>29</v>
      </c>
      <c r="C25" s="4" t="n">
        <v>400</v>
      </c>
      <c r="D25" s="4" t="s">
        <v>22</v>
      </c>
      <c r="E25" s="4" t="s">
        <v>29</v>
      </c>
      <c r="F25" s="7" t="s">
        <v>30</v>
      </c>
      <c r="G25" s="6" t="n">
        <v>14</v>
      </c>
      <c r="H25" s="4" t="s">
        <v>24</v>
      </c>
      <c r="I25" s="4" t="s">
        <v>31</v>
      </c>
    </row>
    <row r="26" customFormat="false" ht="15" hidden="false" customHeight="false" outlineLevel="0" collapsed="false">
      <c r="A26" s="4" t="s">
        <v>38</v>
      </c>
      <c r="B26" s="4" t="s">
        <v>29</v>
      </c>
      <c r="C26" s="4" t="n">
        <v>1000</v>
      </c>
      <c r="D26" s="4" t="s">
        <v>22</v>
      </c>
      <c r="E26" s="4" t="s">
        <v>29</v>
      </c>
      <c r="F26" s="7" t="s">
        <v>30</v>
      </c>
      <c r="G26" s="6" t="n">
        <v>6</v>
      </c>
      <c r="H26" s="4" t="s">
        <v>24</v>
      </c>
      <c r="I26" s="4" t="s">
        <v>32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</v>
      </c>
      <c r="D27" s="4" t="s">
        <v>22</v>
      </c>
      <c r="E27" s="4" t="s">
        <v>33</v>
      </c>
      <c r="F27" s="7" t="s">
        <v>30</v>
      </c>
      <c r="G27" s="6" t="n">
        <v>37</v>
      </c>
      <c r="H27" s="4" t="s">
        <v>24</v>
      </c>
      <c r="I27" s="4" t="s">
        <v>34</v>
      </c>
    </row>
    <row r="28" customFormat="false" ht="15" hidden="false" customHeight="false" outlineLevel="0" collapsed="false">
      <c r="A28" s="4" t="s">
        <v>38</v>
      </c>
      <c r="B28" s="4" t="s">
        <v>33</v>
      </c>
      <c r="C28" s="4" t="n">
        <v>500</v>
      </c>
      <c r="D28" s="4" t="s">
        <v>22</v>
      </c>
      <c r="E28" s="4" t="s">
        <v>33</v>
      </c>
      <c r="F28" s="7" t="s">
        <v>30</v>
      </c>
      <c r="G28" s="6" t="n">
        <v>43</v>
      </c>
      <c r="H28" s="4" t="s">
        <v>24</v>
      </c>
      <c r="I28" s="4" t="s">
        <v>31</v>
      </c>
    </row>
    <row r="29" customFormat="false" ht="15" hidden="false" customHeight="false" outlineLevel="0" collapsed="false">
      <c r="A29" s="4" t="s">
        <v>38</v>
      </c>
      <c r="B29" s="4" t="s">
        <v>33</v>
      </c>
      <c r="C29" s="4" t="n">
        <v>1000</v>
      </c>
      <c r="D29" s="4" t="s">
        <v>22</v>
      </c>
      <c r="E29" s="4" t="s">
        <v>33</v>
      </c>
      <c r="F29" s="7" t="s">
        <v>30</v>
      </c>
      <c r="G29" s="6" t="n">
        <v>4</v>
      </c>
      <c r="H29" s="4" t="s">
        <v>24</v>
      </c>
      <c r="I29" s="4" t="s">
        <v>32</v>
      </c>
    </row>
    <row r="30" customFormat="false" ht="15" hidden="false" customHeight="false" outlineLevel="0" collapsed="false">
      <c r="A30" s="4" t="s">
        <v>38</v>
      </c>
      <c r="B30" s="4" t="s">
        <v>18</v>
      </c>
      <c r="C30" s="4" t="n">
        <v>250</v>
      </c>
      <c r="D30" s="4" t="s">
        <v>22</v>
      </c>
      <c r="E30" s="4" t="s">
        <v>18</v>
      </c>
      <c r="F30" s="7" t="s">
        <v>30</v>
      </c>
      <c r="G30" s="6" t="n">
        <v>36</v>
      </c>
      <c r="H30" s="4" t="s">
        <v>24</v>
      </c>
      <c r="I30" s="4" t="s">
        <v>25</v>
      </c>
    </row>
    <row r="31" customFormat="false" ht="15" hidden="false" customHeight="false" outlineLevel="0" collapsed="false">
      <c r="A31" s="4" t="s">
        <v>38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 t="s">
        <v>17</v>
      </c>
    </row>
    <row r="32" customFormat="false" ht="15" hidden="false" customHeight="false" outlineLevel="0" collapsed="false">
      <c r="A32" s="4" t="s">
        <v>38</v>
      </c>
      <c r="B32" s="4" t="s">
        <v>12</v>
      </c>
      <c r="C32" s="4" t="n">
        <v>500</v>
      </c>
      <c r="D32" s="4" t="s">
        <v>22</v>
      </c>
      <c r="E32" s="4" t="s">
        <v>35</v>
      </c>
      <c r="F32" s="5" t="s">
        <v>15</v>
      </c>
      <c r="G32" s="6" t="n">
        <v>10</v>
      </c>
      <c r="H32" s="4" t="s">
        <v>24</v>
      </c>
      <c r="I32" s="4" t="s">
        <v>31</v>
      </c>
    </row>
    <row r="33" customFormat="false" ht="15" hidden="false" customHeight="false" outlineLevel="0" collapsed="false">
      <c r="A33" s="4" t="s">
        <v>38</v>
      </c>
      <c r="B33" s="4" t="s">
        <v>29</v>
      </c>
      <c r="C33" s="4" t="n">
        <v>15</v>
      </c>
      <c r="D33" s="4" t="s">
        <v>13</v>
      </c>
      <c r="E33" s="4" t="s">
        <v>36</v>
      </c>
      <c r="F33" s="5" t="s">
        <v>15</v>
      </c>
      <c r="G33" s="6" t="n">
        <v>100</v>
      </c>
      <c r="H33" s="4" t="s">
        <v>16</v>
      </c>
      <c r="I33" s="4" t="s">
        <v>17</v>
      </c>
    </row>
    <row r="34" customFormat="false" ht="15" hidden="false" customHeight="false" outlineLevel="0" collapsed="false">
      <c r="A34" s="4" t="s">
        <v>38</v>
      </c>
      <c r="B34" s="4" t="s">
        <v>29</v>
      </c>
      <c r="C34" s="4" t="n">
        <v>100</v>
      </c>
      <c r="D34" s="4" t="s">
        <v>22</v>
      </c>
      <c r="E34" s="4" t="s">
        <v>36</v>
      </c>
      <c r="F34" s="5" t="s">
        <v>15</v>
      </c>
      <c r="G34" s="6" t="n">
        <v>30</v>
      </c>
      <c r="H34" s="4" t="s">
        <v>24</v>
      </c>
      <c r="I34" s="4" t="s">
        <v>34</v>
      </c>
    </row>
    <row r="35" customFormat="false" ht="15" hidden="false" customHeight="false" outlineLevel="0" collapsed="false">
      <c r="A35" s="4" t="s">
        <v>38</v>
      </c>
      <c r="B35" s="4" t="s">
        <v>18</v>
      </c>
      <c r="C35" s="4" t="n">
        <v>250</v>
      </c>
      <c r="D35" s="4" t="s">
        <v>19</v>
      </c>
      <c r="E35" s="4" t="s">
        <v>20</v>
      </c>
      <c r="F35" s="5" t="s">
        <v>15</v>
      </c>
      <c r="G35" s="6" t="n">
        <v>8</v>
      </c>
      <c r="H35" s="4" t="s">
        <v>16</v>
      </c>
      <c r="I35" s="4" t="s">
        <v>21</v>
      </c>
    </row>
    <row r="36" customFormat="false" ht="15" hidden="false" customHeight="false" outlineLevel="0" collapsed="false">
      <c r="A36" s="4" t="s">
        <v>38</v>
      </c>
      <c r="B36" s="4" t="s">
        <v>18</v>
      </c>
      <c r="C36" s="4" t="n">
        <v>250</v>
      </c>
      <c r="D36" s="4" t="s">
        <v>22</v>
      </c>
      <c r="E36" s="4" t="s">
        <v>23</v>
      </c>
      <c r="F36" s="5" t="s">
        <v>15</v>
      </c>
      <c r="G36" s="6" t="n">
        <v>2</v>
      </c>
      <c r="H36" s="4" t="s">
        <v>24</v>
      </c>
      <c r="I36" s="4" t="s">
        <v>25</v>
      </c>
    </row>
    <row r="37" customFormat="false" ht="15" hidden="false" customHeight="false" outlineLevel="0" collapsed="false">
      <c r="A37" s="4" t="s">
        <v>38</v>
      </c>
      <c r="B37" s="4" t="s">
        <v>18</v>
      </c>
      <c r="C37" s="4" t="n">
        <v>250</v>
      </c>
      <c r="D37" s="4" t="s">
        <v>26</v>
      </c>
      <c r="E37" s="4" t="s">
        <v>27</v>
      </c>
      <c r="F37" s="5" t="s">
        <v>15</v>
      </c>
      <c r="G37" s="6" t="n">
        <v>8</v>
      </c>
      <c r="H37" s="4" t="s">
        <v>16</v>
      </c>
      <c r="I37" s="4" t="s">
        <v>21</v>
      </c>
    </row>
    <row r="38" customFormat="false" ht="15" hidden="false" customHeight="false" outlineLevel="0" collapsed="false">
      <c r="A38" s="4" t="s">
        <v>39</v>
      </c>
      <c r="B38" s="4" t="s">
        <v>33</v>
      </c>
      <c r="C38" s="4" t="n">
        <v>100</v>
      </c>
      <c r="D38" s="4" t="s">
        <v>22</v>
      </c>
      <c r="E38" s="4" t="s">
        <v>33</v>
      </c>
      <c r="F38" s="7" t="s">
        <v>30</v>
      </c>
      <c r="G38" s="6" t="n">
        <v>8</v>
      </c>
      <c r="H38" s="4" t="s">
        <v>24</v>
      </c>
      <c r="I38" s="4" t="s">
        <v>34</v>
      </c>
    </row>
    <row r="39" customFormat="false" ht="15" hidden="false" customHeight="false" outlineLevel="0" collapsed="false">
      <c r="A39" s="4" t="s">
        <v>40</v>
      </c>
      <c r="B39" s="4" t="s">
        <v>33</v>
      </c>
      <c r="C39" s="4" t="n">
        <v>500</v>
      </c>
      <c r="D39" s="4" t="s">
        <v>22</v>
      </c>
      <c r="E39" s="4" t="s">
        <v>33</v>
      </c>
      <c r="F39" s="7" t="s">
        <v>30</v>
      </c>
      <c r="G39" s="6" t="n">
        <v>2</v>
      </c>
      <c r="H39" s="4" t="s">
        <v>24</v>
      </c>
      <c r="I39" s="4" t="s">
        <v>31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250</v>
      </c>
      <c r="D40" s="4" t="s">
        <v>22</v>
      </c>
      <c r="E40" s="4" t="s">
        <v>12</v>
      </c>
      <c r="F40" s="7" t="s">
        <v>30</v>
      </c>
      <c r="G40" s="6" t="n">
        <v>18</v>
      </c>
      <c r="H40" s="4" t="s">
        <v>24</v>
      </c>
      <c r="I40" s="4" t="s">
        <v>25</v>
      </c>
    </row>
    <row r="41" customFormat="false" ht="15" hidden="false" customHeight="false" outlineLevel="0" collapsed="false">
      <c r="A41" s="4" t="s">
        <v>41</v>
      </c>
      <c r="B41" s="4" t="s">
        <v>12</v>
      </c>
      <c r="C41" s="4" t="n">
        <v>500</v>
      </c>
      <c r="D41" s="4" t="s">
        <v>22</v>
      </c>
      <c r="E41" s="4" t="s">
        <v>12</v>
      </c>
      <c r="F41" s="7" t="s">
        <v>30</v>
      </c>
      <c r="G41" s="6" t="n">
        <v>40</v>
      </c>
      <c r="H41" s="4" t="s">
        <v>24</v>
      </c>
      <c r="I41" s="4" t="s">
        <v>31</v>
      </c>
    </row>
    <row r="42" customFormat="false" ht="15" hidden="false" customHeight="false" outlineLevel="0" collapsed="false">
      <c r="A42" s="4" t="s">
        <v>41</v>
      </c>
      <c r="B42" s="4" t="s">
        <v>33</v>
      </c>
      <c r="C42" s="4" t="n">
        <v>100</v>
      </c>
      <c r="D42" s="4" t="s">
        <v>22</v>
      </c>
      <c r="E42" s="4" t="s">
        <v>33</v>
      </c>
      <c r="F42" s="7" t="s">
        <v>30</v>
      </c>
      <c r="G42" s="6" t="n">
        <v>45</v>
      </c>
      <c r="H42" s="4" t="s">
        <v>24</v>
      </c>
      <c r="I42" s="4" t="s">
        <v>34</v>
      </c>
    </row>
    <row r="43" customFormat="false" ht="15" hidden="false" customHeight="false" outlineLevel="0" collapsed="false">
      <c r="A43" s="4" t="s">
        <v>41</v>
      </c>
      <c r="B43" s="4" t="s">
        <v>33</v>
      </c>
      <c r="C43" s="4" t="n">
        <v>500</v>
      </c>
      <c r="D43" s="4" t="s">
        <v>22</v>
      </c>
      <c r="E43" s="4" t="s">
        <v>33</v>
      </c>
      <c r="F43" s="7" t="s">
        <v>30</v>
      </c>
      <c r="G43" s="6" t="n">
        <v>4</v>
      </c>
      <c r="H43" s="4" t="s">
        <v>24</v>
      </c>
      <c r="I43" s="4" t="s">
        <v>31</v>
      </c>
    </row>
    <row r="44" customFormat="false" ht="15" hidden="false" customHeight="false" outlineLevel="0" collapsed="false">
      <c r="A44" s="4" t="s">
        <v>41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 t="s">
        <v>17</v>
      </c>
    </row>
    <row r="45" customFormat="false" ht="15" hidden="false" customHeight="false" outlineLevel="0" collapsed="false">
      <c r="A45" s="4" t="s">
        <v>41</v>
      </c>
      <c r="B45" s="4" t="s">
        <v>12</v>
      </c>
      <c r="C45" s="4" t="n">
        <v>500</v>
      </c>
      <c r="D45" s="4" t="s">
        <v>22</v>
      </c>
      <c r="E45" s="4" t="s">
        <v>35</v>
      </c>
      <c r="F45" s="5" t="s">
        <v>15</v>
      </c>
      <c r="G45" s="6" t="n">
        <v>10</v>
      </c>
      <c r="H45" s="4" t="s">
        <v>24</v>
      </c>
      <c r="I45" s="4" t="s">
        <v>31</v>
      </c>
    </row>
    <row r="46" customFormat="false" ht="15" hidden="false" customHeight="false" outlineLevel="0" collapsed="false">
      <c r="A46" s="4" t="s">
        <v>41</v>
      </c>
      <c r="B46" s="4" t="s">
        <v>29</v>
      </c>
      <c r="C46" s="4" t="n">
        <v>15</v>
      </c>
      <c r="D46" s="4" t="s">
        <v>13</v>
      </c>
      <c r="E46" s="4" t="s">
        <v>36</v>
      </c>
      <c r="F46" s="5" t="s">
        <v>15</v>
      </c>
      <c r="G46" s="6" t="n">
        <v>100</v>
      </c>
      <c r="H46" s="4" t="s">
        <v>16</v>
      </c>
      <c r="I46" s="4" t="s">
        <v>17</v>
      </c>
    </row>
    <row r="47" customFormat="false" ht="15" hidden="false" customHeight="false" outlineLevel="0" collapsed="false">
      <c r="A47" s="4" t="s">
        <v>41</v>
      </c>
      <c r="B47" s="4" t="s">
        <v>29</v>
      </c>
      <c r="C47" s="4" t="n">
        <v>100</v>
      </c>
      <c r="D47" s="4" t="s">
        <v>22</v>
      </c>
      <c r="E47" s="4" t="s">
        <v>36</v>
      </c>
      <c r="F47" s="5" t="s">
        <v>15</v>
      </c>
      <c r="G47" s="6" t="n">
        <v>30</v>
      </c>
      <c r="H47" s="4" t="s">
        <v>24</v>
      </c>
      <c r="I47" s="4" t="s">
        <v>34</v>
      </c>
    </row>
    <row r="48" customFormat="false" ht="15" hidden="false" customHeight="false" outlineLevel="0" collapsed="false">
      <c r="A48" s="4" t="s">
        <v>41</v>
      </c>
      <c r="B48" s="4" t="s">
        <v>18</v>
      </c>
      <c r="C48" s="4" t="n">
        <v>250</v>
      </c>
      <c r="D48" s="4" t="s">
        <v>19</v>
      </c>
      <c r="E48" s="4" t="s">
        <v>20</v>
      </c>
      <c r="F48" s="5" t="s">
        <v>15</v>
      </c>
      <c r="G48" s="6" t="n">
        <v>8</v>
      </c>
      <c r="H48" s="4" t="s">
        <v>16</v>
      </c>
      <c r="I48" s="4" t="s">
        <v>21</v>
      </c>
    </row>
    <row r="49" customFormat="false" ht="15" hidden="false" customHeight="false" outlineLevel="0" collapsed="false">
      <c r="A49" s="4" t="s">
        <v>41</v>
      </c>
      <c r="B49" s="4" t="s">
        <v>18</v>
      </c>
      <c r="C49" s="4" t="n">
        <v>250</v>
      </c>
      <c r="D49" s="4" t="s">
        <v>22</v>
      </c>
      <c r="E49" s="4" t="s">
        <v>23</v>
      </c>
      <c r="F49" s="5" t="s">
        <v>15</v>
      </c>
      <c r="G49" s="6" t="n">
        <v>2</v>
      </c>
      <c r="H49" s="4" t="s">
        <v>24</v>
      </c>
      <c r="I49" s="4" t="s">
        <v>25</v>
      </c>
    </row>
    <row r="50" customFormat="false" ht="15" hidden="false" customHeight="false" outlineLevel="0" collapsed="false">
      <c r="A50" s="4" t="s">
        <v>41</v>
      </c>
      <c r="B50" s="4" t="s">
        <v>18</v>
      </c>
      <c r="C50" s="4" t="n">
        <v>250</v>
      </c>
      <c r="D50" s="4" t="s">
        <v>26</v>
      </c>
      <c r="E50" s="4" t="s">
        <v>27</v>
      </c>
      <c r="F50" s="5" t="s">
        <v>15</v>
      </c>
      <c r="G50" s="6" t="n">
        <v>8</v>
      </c>
      <c r="H50" s="4" t="s">
        <v>16</v>
      </c>
      <c r="I50" s="4" t="s">
        <v>21</v>
      </c>
    </row>
    <row r="51" customFormat="false" ht="15" hidden="false" customHeight="false" outlineLevel="0" collapsed="false">
      <c r="A51" s="4" t="s">
        <v>42</v>
      </c>
      <c r="B51" s="4" t="s">
        <v>29</v>
      </c>
      <c r="C51" s="4" t="n">
        <v>400</v>
      </c>
      <c r="D51" s="4" t="s">
        <v>22</v>
      </c>
      <c r="E51" s="4" t="s">
        <v>29</v>
      </c>
      <c r="F51" s="7" t="s">
        <v>30</v>
      </c>
      <c r="G51" s="6" t="n">
        <v>6</v>
      </c>
      <c r="H51" s="4" t="s">
        <v>24</v>
      </c>
      <c r="I51" s="4" t="s">
        <v>31</v>
      </c>
    </row>
    <row r="52" customFormat="false" ht="15" hidden="false" customHeight="false" outlineLevel="0" collapsed="false">
      <c r="A52" s="4" t="s">
        <v>43</v>
      </c>
      <c r="B52" s="4" t="s">
        <v>33</v>
      </c>
      <c r="C52" s="4" t="n">
        <v>100</v>
      </c>
      <c r="D52" s="4" t="s">
        <v>22</v>
      </c>
      <c r="E52" s="4" t="s">
        <v>33</v>
      </c>
      <c r="F52" s="7" t="s">
        <v>30</v>
      </c>
      <c r="G52" s="6" t="n">
        <v>15</v>
      </c>
      <c r="H52" s="4" t="s">
        <v>24</v>
      </c>
      <c r="I52" s="4" t="s">
        <v>34</v>
      </c>
    </row>
    <row r="53" customFormat="false" ht="15" hidden="false" customHeight="false" outlineLevel="0" collapsed="false">
      <c r="A53" s="4" t="s">
        <v>43</v>
      </c>
      <c r="B53" s="4" t="s">
        <v>33</v>
      </c>
      <c r="C53" s="4" t="n">
        <v>500</v>
      </c>
      <c r="D53" s="4" t="s">
        <v>22</v>
      </c>
      <c r="E53" s="4" t="s">
        <v>33</v>
      </c>
      <c r="F53" s="7" t="s">
        <v>30</v>
      </c>
      <c r="G53" s="6" t="n">
        <v>1</v>
      </c>
      <c r="H53" s="4" t="s">
        <v>24</v>
      </c>
      <c r="I53" s="4" t="s">
        <v>31</v>
      </c>
    </row>
    <row r="54" customFormat="false" ht="15" hidden="false" customHeight="false" outlineLevel="0" collapsed="false">
      <c r="A54" s="4" t="s">
        <v>43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 t="s">
        <v>17</v>
      </c>
    </row>
    <row r="55" customFormat="false" ht="15" hidden="false" customHeight="false" outlineLevel="0" collapsed="false">
      <c r="A55" s="4" t="s">
        <v>43</v>
      </c>
      <c r="B55" s="4" t="s">
        <v>12</v>
      </c>
      <c r="C55" s="4" t="n">
        <v>500</v>
      </c>
      <c r="D55" s="4" t="s">
        <v>22</v>
      </c>
      <c r="E55" s="4" t="s">
        <v>35</v>
      </c>
      <c r="F55" s="5" t="s">
        <v>15</v>
      </c>
      <c r="G55" s="6" t="n">
        <v>10</v>
      </c>
      <c r="H55" s="4" t="s">
        <v>24</v>
      </c>
      <c r="I55" s="4" t="s">
        <v>31</v>
      </c>
    </row>
    <row r="56" customFormat="false" ht="15" hidden="false" customHeight="false" outlineLevel="0" collapsed="false">
      <c r="A56" s="4" t="s">
        <v>43</v>
      </c>
      <c r="B56" s="4" t="s">
        <v>29</v>
      </c>
      <c r="C56" s="4" t="n">
        <v>15</v>
      </c>
      <c r="D56" s="4" t="s">
        <v>13</v>
      </c>
      <c r="E56" s="4" t="s">
        <v>36</v>
      </c>
      <c r="F56" s="5" t="s">
        <v>15</v>
      </c>
      <c r="G56" s="6" t="n">
        <v>100</v>
      </c>
      <c r="H56" s="4" t="s">
        <v>16</v>
      </c>
      <c r="I56" s="4" t="s">
        <v>17</v>
      </c>
    </row>
    <row r="57" customFormat="false" ht="15" hidden="false" customHeight="false" outlineLevel="0" collapsed="false">
      <c r="A57" s="4" t="s">
        <v>43</v>
      </c>
      <c r="B57" s="4" t="s">
        <v>29</v>
      </c>
      <c r="C57" s="4" t="n">
        <v>100</v>
      </c>
      <c r="D57" s="4" t="s">
        <v>22</v>
      </c>
      <c r="E57" s="4" t="s">
        <v>36</v>
      </c>
      <c r="F57" s="5" t="s">
        <v>15</v>
      </c>
      <c r="G57" s="6" t="n">
        <v>30</v>
      </c>
      <c r="H57" s="4" t="s">
        <v>24</v>
      </c>
      <c r="I57" s="4" t="s">
        <v>34</v>
      </c>
    </row>
    <row r="58" customFormat="false" ht="15" hidden="false" customHeight="false" outlineLevel="0" collapsed="false">
      <c r="A58" s="4" t="s">
        <v>43</v>
      </c>
      <c r="B58" s="4" t="s">
        <v>18</v>
      </c>
      <c r="C58" s="4" t="n">
        <v>250</v>
      </c>
      <c r="D58" s="4" t="s">
        <v>19</v>
      </c>
      <c r="E58" s="4" t="s">
        <v>20</v>
      </c>
      <c r="F58" s="5" t="s">
        <v>15</v>
      </c>
      <c r="G58" s="6" t="n">
        <v>8</v>
      </c>
      <c r="H58" s="4" t="s">
        <v>16</v>
      </c>
      <c r="I58" s="4" t="s">
        <v>21</v>
      </c>
    </row>
    <row r="59" customFormat="false" ht="15" hidden="false" customHeight="false" outlineLevel="0" collapsed="false">
      <c r="A59" s="4" t="s">
        <v>43</v>
      </c>
      <c r="B59" s="4" t="s">
        <v>18</v>
      </c>
      <c r="C59" s="4" t="n">
        <v>250</v>
      </c>
      <c r="D59" s="4" t="s">
        <v>22</v>
      </c>
      <c r="E59" s="4" t="s">
        <v>23</v>
      </c>
      <c r="F59" s="5" t="s">
        <v>15</v>
      </c>
      <c r="G59" s="6" t="n">
        <v>2</v>
      </c>
      <c r="H59" s="4" t="s">
        <v>24</v>
      </c>
      <c r="I59" s="4" t="s">
        <v>25</v>
      </c>
    </row>
    <row r="60" customFormat="false" ht="15" hidden="false" customHeight="false" outlineLevel="0" collapsed="false">
      <c r="A60" s="4" t="s">
        <v>43</v>
      </c>
      <c r="B60" s="4" t="s">
        <v>18</v>
      </c>
      <c r="C60" s="4" t="n">
        <v>250</v>
      </c>
      <c r="D60" s="4" t="s">
        <v>26</v>
      </c>
      <c r="E60" s="4" t="s">
        <v>27</v>
      </c>
      <c r="F60" s="5" t="s">
        <v>15</v>
      </c>
      <c r="G60" s="6" t="n">
        <v>8</v>
      </c>
      <c r="H60" s="4" t="s">
        <v>16</v>
      </c>
      <c r="I60" s="4" t="s">
        <v>21</v>
      </c>
    </row>
    <row r="61" customFormat="false" ht="15" hidden="false" customHeight="false" outlineLevel="0" collapsed="false">
      <c r="A61" s="4" t="s">
        <v>44</v>
      </c>
      <c r="B61" s="4" t="s">
        <v>12</v>
      </c>
      <c r="C61" s="4" t="n">
        <v>250</v>
      </c>
      <c r="D61" s="4" t="s">
        <v>22</v>
      </c>
      <c r="E61" s="4" t="s">
        <v>12</v>
      </c>
      <c r="F61" s="7" t="s">
        <v>30</v>
      </c>
      <c r="G61" s="6" t="n">
        <v>205</v>
      </c>
      <c r="H61" s="4" t="s">
        <v>24</v>
      </c>
      <c r="I61" s="4" t="s">
        <v>25</v>
      </c>
    </row>
    <row r="62" customFormat="false" ht="15" hidden="false" customHeight="false" outlineLevel="0" collapsed="false">
      <c r="A62" s="4" t="s">
        <v>44</v>
      </c>
      <c r="B62" s="4" t="s">
        <v>29</v>
      </c>
      <c r="C62" s="4" t="n">
        <v>1000</v>
      </c>
      <c r="D62" s="4" t="s">
        <v>22</v>
      </c>
      <c r="E62" s="4" t="s">
        <v>29</v>
      </c>
      <c r="F62" s="7" t="s">
        <v>30</v>
      </c>
      <c r="G62" s="6" t="n">
        <v>18</v>
      </c>
      <c r="H62" s="4" t="s">
        <v>24</v>
      </c>
      <c r="I62" s="4" t="s">
        <v>32</v>
      </c>
    </row>
    <row r="63" customFormat="false" ht="15" hidden="false" customHeight="false" outlineLevel="0" collapsed="false">
      <c r="A63" s="4" t="s">
        <v>44</v>
      </c>
      <c r="B63" s="4" t="s">
        <v>29</v>
      </c>
      <c r="C63" s="4" t="n">
        <v>5000</v>
      </c>
      <c r="D63" s="4" t="s">
        <v>22</v>
      </c>
      <c r="E63" s="4" t="s">
        <v>29</v>
      </c>
      <c r="F63" s="7" t="s">
        <v>30</v>
      </c>
      <c r="G63" s="6" t="n">
        <v>8</v>
      </c>
      <c r="H63" s="4" t="s">
        <v>24</v>
      </c>
      <c r="I63" s="8"/>
    </row>
    <row r="64" customFormat="false" ht="15" hidden="false" customHeight="false" outlineLevel="0" collapsed="false">
      <c r="A64" s="4" t="s">
        <v>45</v>
      </c>
      <c r="B64" s="4" t="s">
        <v>29</v>
      </c>
      <c r="C64" s="4" t="n">
        <v>400</v>
      </c>
      <c r="D64" s="4" t="s">
        <v>22</v>
      </c>
      <c r="E64" s="4" t="s">
        <v>29</v>
      </c>
      <c r="F64" s="7" t="s">
        <v>30</v>
      </c>
      <c r="G64" s="6" t="n">
        <v>24</v>
      </c>
      <c r="H64" s="4" t="s">
        <v>24</v>
      </c>
      <c r="I64" s="4" t="s">
        <v>31</v>
      </c>
    </row>
    <row r="65" customFormat="false" ht="15" hidden="false" customHeight="false" outlineLevel="0" collapsed="false">
      <c r="A65" s="4" t="s">
        <v>45</v>
      </c>
      <c r="B65" s="4" t="s">
        <v>29</v>
      </c>
      <c r="C65" s="4" t="n">
        <v>1000</v>
      </c>
      <c r="D65" s="4" t="s">
        <v>22</v>
      </c>
      <c r="E65" s="4" t="s">
        <v>29</v>
      </c>
      <c r="F65" s="7" t="s">
        <v>30</v>
      </c>
      <c r="G65" s="6" t="n">
        <v>8</v>
      </c>
      <c r="H65" s="4" t="s">
        <v>24</v>
      </c>
      <c r="I65" s="4" t="s">
        <v>32</v>
      </c>
    </row>
    <row r="66" customFormat="false" ht="15" hidden="false" customHeight="false" outlineLevel="0" collapsed="false">
      <c r="A66" s="4" t="s">
        <v>45</v>
      </c>
      <c r="B66" s="4" t="s">
        <v>33</v>
      </c>
      <c r="C66" s="4" t="n">
        <v>100</v>
      </c>
      <c r="D66" s="4" t="s">
        <v>22</v>
      </c>
      <c r="E66" s="4" t="s">
        <v>33</v>
      </c>
      <c r="F66" s="7" t="s">
        <v>30</v>
      </c>
      <c r="G66" s="6" t="n">
        <v>16</v>
      </c>
      <c r="H66" s="4" t="s">
        <v>24</v>
      </c>
      <c r="I66" s="4" t="s">
        <v>34</v>
      </c>
    </row>
    <row r="67" customFormat="false" ht="15" hidden="false" customHeight="false" outlineLevel="0" collapsed="false">
      <c r="A67" s="4" t="s">
        <v>45</v>
      </c>
      <c r="B67" s="4" t="s">
        <v>33</v>
      </c>
      <c r="C67" s="4" t="n">
        <v>500</v>
      </c>
      <c r="D67" s="4" t="s">
        <v>22</v>
      </c>
      <c r="E67" s="4" t="s">
        <v>33</v>
      </c>
      <c r="F67" s="7" t="s">
        <v>30</v>
      </c>
      <c r="G67" s="6" t="n">
        <v>13</v>
      </c>
      <c r="H67" s="4" t="s">
        <v>24</v>
      </c>
      <c r="I67" s="4" t="s">
        <v>31</v>
      </c>
    </row>
    <row r="68" customFormat="false" ht="15" hidden="false" customHeight="false" outlineLevel="0" collapsed="false">
      <c r="A68" s="4" t="s">
        <v>45</v>
      </c>
      <c r="B68" s="4" t="s">
        <v>18</v>
      </c>
      <c r="C68" s="4" t="n">
        <v>500</v>
      </c>
      <c r="D68" s="4" t="s">
        <v>22</v>
      </c>
      <c r="E68" s="4" t="s">
        <v>18</v>
      </c>
      <c r="F68" s="7" t="s">
        <v>30</v>
      </c>
      <c r="G68" s="6" t="n">
        <v>16</v>
      </c>
      <c r="H68" s="4" t="s">
        <v>24</v>
      </c>
      <c r="I68" s="4" t="s">
        <v>31</v>
      </c>
    </row>
    <row r="69" customFormat="false" ht="15" hidden="false" customHeight="false" outlineLevel="0" collapsed="false">
      <c r="A69" s="4" t="s">
        <v>46</v>
      </c>
      <c r="B69" s="4" t="s">
        <v>29</v>
      </c>
      <c r="C69" s="4" t="n">
        <v>400</v>
      </c>
      <c r="D69" s="4" t="s">
        <v>22</v>
      </c>
      <c r="E69" s="4" t="s">
        <v>29</v>
      </c>
      <c r="F69" s="7" t="s">
        <v>30</v>
      </c>
      <c r="G69" s="6" t="n">
        <v>18</v>
      </c>
      <c r="H69" s="4" t="s">
        <v>24</v>
      </c>
      <c r="I69" s="4" t="s">
        <v>31</v>
      </c>
    </row>
    <row r="70" customFormat="false" ht="15" hidden="false" customHeight="false" outlineLevel="0" collapsed="false">
      <c r="A70" s="4" t="s">
        <v>47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 t="s">
        <v>17</v>
      </c>
    </row>
    <row r="71" customFormat="false" ht="15" hidden="false" customHeight="false" outlineLevel="0" collapsed="false">
      <c r="A71" s="4" t="s">
        <v>47</v>
      </c>
      <c r="B71" s="4" t="s">
        <v>18</v>
      </c>
      <c r="C71" s="4" t="n">
        <v>250</v>
      </c>
      <c r="D71" s="4" t="s">
        <v>19</v>
      </c>
      <c r="E71" s="4" t="s">
        <v>20</v>
      </c>
      <c r="F71" s="5" t="s">
        <v>15</v>
      </c>
      <c r="G71" s="6" t="n">
        <v>18</v>
      </c>
      <c r="H71" s="4" t="s">
        <v>16</v>
      </c>
      <c r="I71" s="4" t="s">
        <v>21</v>
      </c>
    </row>
    <row r="72" customFormat="false" ht="15" hidden="false" customHeight="false" outlineLevel="0" collapsed="false">
      <c r="A72" s="4" t="s">
        <v>47</v>
      </c>
      <c r="B72" s="4" t="s">
        <v>18</v>
      </c>
      <c r="C72" s="4" t="n">
        <v>250</v>
      </c>
      <c r="D72" s="4" t="s">
        <v>22</v>
      </c>
      <c r="E72" s="4" t="s">
        <v>23</v>
      </c>
      <c r="F72" s="5" t="s">
        <v>15</v>
      </c>
      <c r="G72" s="6" t="n">
        <v>12</v>
      </c>
      <c r="H72" s="4" t="s">
        <v>24</v>
      </c>
      <c r="I72" s="4" t="s">
        <v>25</v>
      </c>
    </row>
    <row r="73" customFormat="false" ht="15" hidden="false" customHeight="false" outlineLevel="0" collapsed="false">
      <c r="A73" s="4" t="s">
        <v>47</v>
      </c>
      <c r="B73" s="4" t="s">
        <v>18</v>
      </c>
      <c r="C73" s="4" t="n">
        <v>250</v>
      </c>
      <c r="D73" s="4" t="s">
        <v>26</v>
      </c>
      <c r="E73" s="4" t="s">
        <v>27</v>
      </c>
      <c r="F73" s="5" t="s">
        <v>15</v>
      </c>
      <c r="G73" s="6" t="n">
        <v>18</v>
      </c>
      <c r="H73" s="4" t="s">
        <v>16</v>
      </c>
      <c r="I73" s="4" t="s">
        <v>21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400</v>
      </c>
      <c r="D74" s="4" t="s">
        <v>22</v>
      </c>
      <c r="E74" s="4" t="s">
        <v>29</v>
      </c>
      <c r="F74" s="7" t="s">
        <v>30</v>
      </c>
      <c r="G74" s="6" t="n">
        <v>31</v>
      </c>
      <c r="H74" s="4" t="s">
        <v>24</v>
      </c>
      <c r="I74" s="4" t="s">
        <v>31</v>
      </c>
    </row>
    <row r="75" customFormat="false" ht="15" hidden="false" customHeight="false" outlineLevel="0" collapsed="false">
      <c r="A75" s="4" t="s">
        <v>48</v>
      </c>
      <c r="B75" s="4" t="s">
        <v>33</v>
      </c>
      <c r="C75" s="4" t="n">
        <v>100</v>
      </c>
      <c r="D75" s="4" t="s">
        <v>22</v>
      </c>
      <c r="E75" s="4" t="s">
        <v>33</v>
      </c>
      <c r="F75" s="7" t="s">
        <v>30</v>
      </c>
      <c r="G75" s="6" t="n">
        <v>3</v>
      </c>
      <c r="H75" s="4" t="s">
        <v>24</v>
      </c>
      <c r="I75" s="4" t="s">
        <v>34</v>
      </c>
    </row>
    <row r="76" customFormat="false" ht="15" hidden="false" customHeight="false" outlineLevel="0" collapsed="false">
      <c r="A76" s="4" t="s">
        <v>48</v>
      </c>
      <c r="B76" s="4" t="s">
        <v>33</v>
      </c>
      <c r="C76" s="4" t="n">
        <v>500</v>
      </c>
      <c r="D76" s="4" t="s">
        <v>22</v>
      </c>
      <c r="E76" s="4" t="s">
        <v>33</v>
      </c>
      <c r="F76" s="7" t="s">
        <v>30</v>
      </c>
      <c r="G76" s="6" t="n">
        <v>128</v>
      </c>
      <c r="H76" s="4" t="s">
        <v>24</v>
      </c>
      <c r="I76" s="4" t="s">
        <v>31</v>
      </c>
    </row>
    <row r="77" customFormat="false" ht="15" hidden="false" customHeight="false" outlineLevel="0" collapsed="false">
      <c r="A77" s="4" t="s">
        <v>48</v>
      </c>
      <c r="B77" s="4" t="s">
        <v>33</v>
      </c>
      <c r="C77" s="4" t="n">
        <v>1000</v>
      </c>
      <c r="D77" s="4" t="s">
        <v>22</v>
      </c>
      <c r="E77" s="4" t="s">
        <v>33</v>
      </c>
      <c r="F77" s="7" t="s">
        <v>30</v>
      </c>
      <c r="G77" s="6" t="n">
        <v>9</v>
      </c>
      <c r="H77" s="4" t="s">
        <v>24</v>
      </c>
      <c r="I77" s="4" t="s">
        <v>32</v>
      </c>
    </row>
    <row r="78" customFormat="false" ht="15" hidden="false" customHeight="false" outlineLevel="0" collapsed="false">
      <c r="A78" s="4" t="s">
        <v>48</v>
      </c>
      <c r="B78" s="4" t="s">
        <v>18</v>
      </c>
      <c r="C78" s="4" t="n">
        <v>250</v>
      </c>
      <c r="D78" s="4" t="s">
        <v>22</v>
      </c>
      <c r="E78" s="4" t="s">
        <v>18</v>
      </c>
      <c r="F78" s="7" t="s">
        <v>30</v>
      </c>
      <c r="G78" s="6" t="n">
        <v>80</v>
      </c>
      <c r="H78" s="4" t="s">
        <v>24</v>
      </c>
      <c r="I78" s="4" t="s">
        <v>25</v>
      </c>
    </row>
    <row r="79" customFormat="false" ht="15" hidden="false" customHeight="false" outlineLevel="0" collapsed="false">
      <c r="A79" s="4" t="s">
        <v>48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 t="s">
        <v>17</v>
      </c>
    </row>
    <row r="80" customFormat="false" ht="15" hidden="false" customHeight="false" outlineLevel="0" collapsed="false">
      <c r="A80" s="4" t="s">
        <v>48</v>
      </c>
      <c r="B80" s="4" t="s">
        <v>12</v>
      </c>
      <c r="C80" s="4" t="n">
        <v>500</v>
      </c>
      <c r="D80" s="4" t="s">
        <v>22</v>
      </c>
      <c r="E80" s="4" t="s">
        <v>35</v>
      </c>
      <c r="F80" s="5" t="s">
        <v>15</v>
      </c>
      <c r="G80" s="6" t="n">
        <v>10</v>
      </c>
      <c r="H80" s="4" t="s">
        <v>24</v>
      </c>
      <c r="I80" s="4" t="s">
        <v>31</v>
      </c>
    </row>
    <row r="81" customFormat="false" ht="15" hidden="false" customHeight="false" outlineLevel="0" collapsed="false">
      <c r="A81" s="4" t="s">
        <v>48</v>
      </c>
      <c r="B81" s="4" t="s">
        <v>29</v>
      </c>
      <c r="C81" s="4" t="n">
        <v>15</v>
      </c>
      <c r="D81" s="4" t="s">
        <v>13</v>
      </c>
      <c r="E81" s="4" t="s">
        <v>36</v>
      </c>
      <c r="F81" s="5" t="s">
        <v>15</v>
      </c>
      <c r="G81" s="6" t="n">
        <v>100</v>
      </c>
      <c r="H81" s="4" t="s">
        <v>16</v>
      </c>
      <c r="I81" s="4" t="s">
        <v>17</v>
      </c>
    </row>
    <row r="82" customFormat="false" ht="15" hidden="false" customHeight="false" outlineLevel="0" collapsed="false">
      <c r="A82" s="4" t="s">
        <v>48</v>
      </c>
      <c r="B82" s="4" t="s">
        <v>29</v>
      </c>
      <c r="C82" s="4" t="n">
        <v>100</v>
      </c>
      <c r="D82" s="4" t="s">
        <v>22</v>
      </c>
      <c r="E82" s="4" t="s">
        <v>36</v>
      </c>
      <c r="F82" s="5" t="s">
        <v>15</v>
      </c>
      <c r="G82" s="6" t="n">
        <v>30</v>
      </c>
      <c r="H82" s="4" t="s">
        <v>24</v>
      </c>
      <c r="I82" s="4" t="s">
        <v>34</v>
      </c>
    </row>
    <row r="83" customFormat="false" ht="15" hidden="false" customHeight="false" outlineLevel="0" collapsed="false">
      <c r="A83" s="4" t="s">
        <v>48</v>
      </c>
      <c r="B83" s="4" t="s">
        <v>18</v>
      </c>
      <c r="C83" s="4" t="n">
        <v>250</v>
      </c>
      <c r="D83" s="4" t="s">
        <v>19</v>
      </c>
      <c r="E83" s="4" t="s">
        <v>20</v>
      </c>
      <c r="F83" s="5" t="s">
        <v>15</v>
      </c>
      <c r="G83" s="6" t="n">
        <v>8</v>
      </c>
      <c r="H83" s="4" t="s">
        <v>16</v>
      </c>
      <c r="I83" s="4" t="s">
        <v>21</v>
      </c>
    </row>
    <row r="84" customFormat="false" ht="15" hidden="false" customHeight="false" outlineLevel="0" collapsed="false">
      <c r="A84" s="4" t="s">
        <v>48</v>
      </c>
      <c r="B84" s="4" t="s">
        <v>18</v>
      </c>
      <c r="C84" s="4" t="n">
        <v>250</v>
      </c>
      <c r="D84" s="4" t="s">
        <v>22</v>
      </c>
      <c r="E84" s="4" t="s">
        <v>23</v>
      </c>
      <c r="F84" s="5" t="s">
        <v>15</v>
      </c>
      <c r="G84" s="6" t="n">
        <v>2</v>
      </c>
      <c r="H84" s="4" t="s">
        <v>24</v>
      </c>
      <c r="I84" s="4" t="s">
        <v>25</v>
      </c>
    </row>
    <row r="85" customFormat="false" ht="15" hidden="false" customHeight="false" outlineLevel="0" collapsed="false">
      <c r="A85" s="4" t="s">
        <v>48</v>
      </c>
      <c r="B85" s="4" t="s">
        <v>18</v>
      </c>
      <c r="C85" s="4" t="n">
        <v>250</v>
      </c>
      <c r="D85" s="4" t="s">
        <v>26</v>
      </c>
      <c r="E85" s="4" t="s">
        <v>27</v>
      </c>
      <c r="F85" s="5" t="s">
        <v>15</v>
      </c>
      <c r="G85" s="6" t="n">
        <v>8</v>
      </c>
      <c r="H85" s="4" t="s">
        <v>16</v>
      </c>
      <c r="I85" s="4" t="s">
        <v>21</v>
      </c>
    </row>
    <row r="86" customFormat="false" ht="15" hidden="false" customHeight="false" outlineLevel="0" collapsed="false">
      <c r="A86" s="4" t="s">
        <v>49</v>
      </c>
      <c r="B86" s="4" t="s">
        <v>18</v>
      </c>
      <c r="C86" s="4" t="n">
        <v>150</v>
      </c>
      <c r="D86" s="4" t="s">
        <v>22</v>
      </c>
      <c r="E86" s="4" t="s">
        <v>18</v>
      </c>
      <c r="F86" s="7" t="s">
        <v>30</v>
      </c>
      <c r="G86" s="6" t="n">
        <v>8</v>
      </c>
      <c r="H86" s="4" t="s">
        <v>24</v>
      </c>
      <c r="I86" s="4" t="s">
        <v>25</v>
      </c>
    </row>
    <row r="87" customFormat="false" ht="15" hidden="false" customHeight="false" outlineLevel="0" collapsed="false">
      <c r="A87" s="4" t="s">
        <v>50</v>
      </c>
      <c r="B87" s="4" t="s">
        <v>33</v>
      </c>
      <c r="C87" s="4" t="n">
        <v>500</v>
      </c>
      <c r="D87" s="4" t="s">
        <v>22</v>
      </c>
      <c r="E87" s="4" t="s">
        <v>33</v>
      </c>
      <c r="F87" s="7" t="s">
        <v>30</v>
      </c>
      <c r="G87" s="6" t="n">
        <v>19</v>
      </c>
      <c r="H87" s="4" t="s">
        <v>24</v>
      </c>
      <c r="I87" s="4" t="s">
        <v>31</v>
      </c>
    </row>
    <row r="88" customFormat="false" ht="15" hidden="false" customHeight="false" outlineLevel="0" collapsed="false">
      <c r="A88" s="4" t="s">
        <v>51</v>
      </c>
      <c r="B88" s="4" t="s">
        <v>33</v>
      </c>
      <c r="C88" s="4" t="n">
        <v>500</v>
      </c>
      <c r="D88" s="4" t="s">
        <v>22</v>
      </c>
      <c r="E88" s="4" t="s">
        <v>33</v>
      </c>
      <c r="F88" s="7" t="s">
        <v>30</v>
      </c>
      <c r="G88" s="6" t="n">
        <v>27</v>
      </c>
      <c r="H88" s="4" t="s">
        <v>24</v>
      </c>
      <c r="I88" s="4" t="s">
        <v>31</v>
      </c>
    </row>
    <row r="89" customFormat="false" ht="15" hidden="false" customHeight="false" outlineLevel="0" collapsed="false">
      <c r="A89" s="4" t="s">
        <v>52</v>
      </c>
      <c r="B89" s="4" t="s">
        <v>29</v>
      </c>
      <c r="C89" s="4" t="n">
        <v>400</v>
      </c>
      <c r="D89" s="4" t="s">
        <v>22</v>
      </c>
      <c r="E89" s="4" t="s">
        <v>29</v>
      </c>
      <c r="F89" s="7" t="s">
        <v>30</v>
      </c>
      <c r="G89" s="6" t="n">
        <v>2</v>
      </c>
      <c r="H89" s="4" t="s">
        <v>24</v>
      </c>
      <c r="I89" s="4" t="s">
        <v>31</v>
      </c>
    </row>
    <row r="90" customFormat="false" ht="15" hidden="false" customHeight="false" outlineLevel="0" collapsed="false">
      <c r="A90" s="4" t="s">
        <v>53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 t="s">
        <v>17</v>
      </c>
    </row>
    <row r="91" customFormat="false" ht="15" hidden="false" customHeight="false" outlineLevel="0" collapsed="false">
      <c r="A91" s="4" t="s">
        <v>53</v>
      </c>
      <c r="B91" s="4" t="s">
        <v>18</v>
      </c>
      <c r="C91" s="4" t="n">
        <v>250</v>
      </c>
      <c r="D91" s="4" t="s">
        <v>19</v>
      </c>
      <c r="E91" s="4" t="s">
        <v>20</v>
      </c>
      <c r="F91" s="5" t="s">
        <v>15</v>
      </c>
      <c r="G91" s="6" t="n">
        <v>18</v>
      </c>
      <c r="H91" s="4" t="s">
        <v>16</v>
      </c>
      <c r="I91" s="4" t="s">
        <v>21</v>
      </c>
    </row>
    <row r="92" customFormat="false" ht="15" hidden="false" customHeight="false" outlineLevel="0" collapsed="false">
      <c r="A92" s="4" t="s">
        <v>53</v>
      </c>
      <c r="B92" s="4" t="s">
        <v>18</v>
      </c>
      <c r="C92" s="4" t="n">
        <v>250</v>
      </c>
      <c r="D92" s="4" t="s">
        <v>22</v>
      </c>
      <c r="E92" s="4" t="s">
        <v>23</v>
      </c>
      <c r="F92" s="5" t="s">
        <v>15</v>
      </c>
      <c r="G92" s="6" t="n">
        <v>12</v>
      </c>
      <c r="H92" s="4" t="s">
        <v>24</v>
      </c>
      <c r="I92" s="4" t="s">
        <v>25</v>
      </c>
    </row>
    <row r="93" customFormat="false" ht="15" hidden="false" customHeight="false" outlineLevel="0" collapsed="false">
      <c r="A93" s="4" t="s">
        <v>53</v>
      </c>
      <c r="B93" s="4" t="s">
        <v>18</v>
      </c>
      <c r="C93" s="4" t="n">
        <v>250</v>
      </c>
      <c r="D93" s="4" t="s">
        <v>26</v>
      </c>
      <c r="E93" s="4" t="s">
        <v>27</v>
      </c>
      <c r="F93" s="5" t="s">
        <v>15</v>
      </c>
      <c r="G93" s="6" t="n">
        <v>18</v>
      </c>
      <c r="H93" s="4" t="s">
        <v>16</v>
      </c>
      <c r="I93" s="4" t="s">
        <v>21</v>
      </c>
    </row>
    <row r="94" customFormat="false" ht="15" hidden="false" customHeight="false" outlineLevel="0" collapsed="false">
      <c r="A94" s="4" t="s">
        <v>54</v>
      </c>
      <c r="B94" s="4" t="s">
        <v>29</v>
      </c>
      <c r="C94" s="4" t="n">
        <v>160</v>
      </c>
      <c r="D94" s="4" t="s">
        <v>22</v>
      </c>
      <c r="E94" s="4" t="s">
        <v>29</v>
      </c>
      <c r="F94" s="7" t="s">
        <v>30</v>
      </c>
      <c r="G94" s="6" t="n">
        <v>3</v>
      </c>
      <c r="H94" s="4" t="s">
        <v>24</v>
      </c>
      <c r="I94" s="8"/>
    </row>
    <row r="95" customFormat="false" ht="15" hidden="false" customHeight="false" outlineLevel="0" collapsed="false">
      <c r="A95" s="4" t="s">
        <v>54</v>
      </c>
      <c r="B95" s="4" t="s">
        <v>29</v>
      </c>
      <c r="C95" s="4" t="n">
        <v>400</v>
      </c>
      <c r="D95" s="4" t="s">
        <v>22</v>
      </c>
      <c r="E95" s="4" t="s">
        <v>29</v>
      </c>
      <c r="F95" s="7" t="s">
        <v>30</v>
      </c>
      <c r="G95" s="6" t="n">
        <v>16</v>
      </c>
      <c r="H95" s="4" t="s">
        <v>24</v>
      </c>
      <c r="I95" s="4" t="s">
        <v>31</v>
      </c>
    </row>
    <row r="96" customFormat="false" ht="15" hidden="false" customHeight="false" outlineLevel="0" collapsed="false">
      <c r="A96" s="4" t="s">
        <v>54</v>
      </c>
      <c r="B96" s="4" t="s">
        <v>33</v>
      </c>
      <c r="C96" s="4" t="n">
        <v>100</v>
      </c>
      <c r="D96" s="4" t="s">
        <v>22</v>
      </c>
      <c r="E96" s="4" t="s">
        <v>33</v>
      </c>
      <c r="F96" s="7" t="s">
        <v>30</v>
      </c>
      <c r="G96" s="6" t="n">
        <v>10</v>
      </c>
      <c r="H96" s="4" t="s">
        <v>24</v>
      </c>
      <c r="I96" s="4" t="s">
        <v>34</v>
      </c>
    </row>
    <row r="97" customFormat="false" ht="15" hidden="false" customHeight="false" outlineLevel="0" collapsed="false">
      <c r="A97" s="4" t="s">
        <v>54</v>
      </c>
      <c r="B97" s="4" t="s">
        <v>33</v>
      </c>
      <c r="C97" s="4" t="n">
        <v>500</v>
      </c>
      <c r="D97" s="4" t="s">
        <v>22</v>
      </c>
      <c r="E97" s="4" t="s">
        <v>33</v>
      </c>
      <c r="F97" s="7" t="s">
        <v>30</v>
      </c>
      <c r="G97" s="6" t="n">
        <v>43</v>
      </c>
      <c r="H97" s="4" t="s">
        <v>24</v>
      </c>
      <c r="I97" s="4" t="s">
        <v>31</v>
      </c>
    </row>
    <row r="98" customFormat="false" ht="15" hidden="false" customHeight="false" outlineLevel="0" collapsed="false">
      <c r="A98" s="4" t="s">
        <v>54</v>
      </c>
      <c r="B98" s="4" t="s">
        <v>18</v>
      </c>
      <c r="C98" s="4" t="n">
        <v>150</v>
      </c>
      <c r="D98" s="4" t="s">
        <v>22</v>
      </c>
      <c r="E98" s="4" t="s">
        <v>18</v>
      </c>
      <c r="F98" s="7" t="s">
        <v>30</v>
      </c>
      <c r="G98" s="6" t="n">
        <v>4</v>
      </c>
      <c r="H98" s="4" t="s">
        <v>24</v>
      </c>
      <c r="I98" s="4" t="s">
        <v>25</v>
      </c>
    </row>
    <row r="99" customFormat="false" ht="15" hidden="false" customHeight="false" outlineLevel="0" collapsed="false">
      <c r="A99" s="4" t="s">
        <v>55</v>
      </c>
      <c r="B99" s="4" t="s">
        <v>33</v>
      </c>
      <c r="C99" s="4" t="n">
        <v>500</v>
      </c>
      <c r="D99" s="4" t="s">
        <v>22</v>
      </c>
      <c r="E99" s="4" t="s">
        <v>33</v>
      </c>
      <c r="F99" s="7" t="s">
        <v>30</v>
      </c>
      <c r="G99" s="6" t="n">
        <v>36</v>
      </c>
      <c r="H99" s="4" t="s">
        <v>24</v>
      </c>
      <c r="I99" s="4" t="s">
        <v>31</v>
      </c>
    </row>
    <row r="100" customFormat="false" ht="15" hidden="false" customHeight="false" outlineLevel="0" collapsed="false">
      <c r="A100" s="4" t="s">
        <v>56</v>
      </c>
      <c r="B100" s="4" t="s">
        <v>12</v>
      </c>
      <c r="C100" s="4" t="n">
        <v>150</v>
      </c>
      <c r="D100" s="4" t="s">
        <v>22</v>
      </c>
      <c r="E100" s="4" t="s">
        <v>12</v>
      </c>
      <c r="F100" s="7" t="s">
        <v>30</v>
      </c>
      <c r="G100" s="6" t="n">
        <v>25</v>
      </c>
      <c r="H100" s="4" t="s">
        <v>24</v>
      </c>
      <c r="I100" s="4" t="s">
        <v>25</v>
      </c>
    </row>
    <row r="101" customFormat="false" ht="15" hidden="false" customHeight="false" outlineLevel="0" collapsed="false">
      <c r="A101" s="4" t="s">
        <v>56</v>
      </c>
      <c r="B101" s="4" t="s">
        <v>12</v>
      </c>
      <c r="C101" s="4" t="n">
        <v>250</v>
      </c>
      <c r="D101" s="4" t="s">
        <v>22</v>
      </c>
      <c r="E101" s="4" t="s">
        <v>12</v>
      </c>
      <c r="F101" s="7" t="s">
        <v>30</v>
      </c>
      <c r="G101" s="6" t="n">
        <v>90</v>
      </c>
      <c r="H101" s="4" t="s">
        <v>24</v>
      </c>
      <c r="I101" s="4" t="s">
        <v>25</v>
      </c>
    </row>
    <row r="102" customFormat="false" ht="15" hidden="false" customHeight="false" outlineLevel="0" collapsed="false">
      <c r="A102" s="4" t="s">
        <v>56</v>
      </c>
      <c r="B102" s="4" t="s">
        <v>29</v>
      </c>
      <c r="C102" s="4" t="n">
        <v>160</v>
      </c>
      <c r="D102" s="4" t="s">
        <v>22</v>
      </c>
      <c r="E102" s="4" t="s">
        <v>29</v>
      </c>
      <c r="F102" s="7" t="s">
        <v>30</v>
      </c>
      <c r="G102" s="6" t="n">
        <v>7</v>
      </c>
      <c r="H102" s="4" t="s">
        <v>24</v>
      </c>
      <c r="I102" s="8"/>
    </row>
    <row r="103" customFormat="false" ht="15" hidden="false" customHeight="false" outlineLevel="0" collapsed="false">
      <c r="A103" s="4" t="s">
        <v>56</v>
      </c>
      <c r="B103" s="4" t="s">
        <v>29</v>
      </c>
      <c r="C103" s="4" t="n">
        <v>400</v>
      </c>
      <c r="D103" s="4" t="s">
        <v>22</v>
      </c>
      <c r="E103" s="4" t="s">
        <v>29</v>
      </c>
      <c r="F103" s="7" t="s">
        <v>30</v>
      </c>
      <c r="G103" s="6" t="n">
        <v>13</v>
      </c>
      <c r="H103" s="4" t="s">
        <v>24</v>
      </c>
      <c r="I103" s="4" t="s">
        <v>31</v>
      </c>
    </row>
    <row r="104" customFormat="false" ht="15" hidden="false" customHeight="false" outlineLevel="0" collapsed="false">
      <c r="A104" s="4" t="s">
        <v>56</v>
      </c>
      <c r="B104" s="4" t="s">
        <v>33</v>
      </c>
      <c r="C104" s="4" t="n">
        <v>100</v>
      </c>
      <c r="D104" s="4" t="s">
        <v>22</v>
      </c>
      <c r="E104" s="4" t="s">
        <v>33</v>
      </c>
      <c r="F104" s="7" t="s">
        <v>30</v>
      </c>
      <c r="G104" s="6" t="n">
        <v>10</v>
      </c>
      <c r="H104" s="4" t="s">
        <v>24</v>
      </c>
      <c r="I104" s="4" t="s">
        <v>34</v>
      </c>
    </row>
    <row r="105" customFormat="false" ht="15" hidden="false" customHeight="false" outlineLevel="0" collapsed="false">
      <c r="A105" s="4" t="s">
        <v>57</v>
      </c>
      <c r="B105" s="4" t="s">
        <v>33</v>
      </c>
      <c r="C105" s="4" t="n">
        <v>100</v>
      </c>
      <c r="D105" s="4" t="s">
        <v>22</v>
      </c>
      <c r="E105" s="4" t="s">
        <v>33</v>
      </c>
      <c r="F105" s="7" t="s">
        <v>30</v>
      </c>
      <c r="G105" s="6" t="n">
        <v>649</v>
      </c>
      <c r="H105" s="4" t="s">
        <v>24</v>
      </c>
      <c r="I105" s="4" t="s">
        <v>34</v>
      </c>
    </row>
    <row r="106" customFormat="false" ht="15" hidden="false" customHeight="false" outlineLevel="0" collapsed="false">
      <c r="A106" s="4" t="s">
        <v>58</v>
      </c>
      <c r="B106" s="4" t="s">
        <v>29</v>
      </c>
      <c r="C106" s="4" t="n">
        <v>160</v>
      </c>
      <c r="D106" s="4" t="s">
        <v>22</v>
      </c>
      <c r="E106" s="4" t="s">
        <v>29</v>
      </c>
      <c r="F106" s="7" t="s">
        <v>30</v>
      </c>
      <c r="G106" s="6" t="n">
        <v>23</v>
      </c>
      <c r="H106" s="4" t="s">
        <v>24</v>
      </c>
      <c r="I106" s="8"/>
    </row>
    <row r="107" customFormat="false" ht="15" hidden="false" customHeight="false" outlineLevel="0" collapsed="false">
      <c r="A107" s="4" t="s">
        <v>58</v>
      </c>
      <c r="B107" s="4" t="s">
        <v>29</v>
      </c>
      <c r="C107" s="4" t="n">
        <v>400</v>
      </c>
      <c r="D107" s="4" t="s">
        <v>22</v>
      </c>
      <c r="E107" s="4" t="s">
        <v>29</v>
      </c>
      <c r="F107" s="7" t="s">
        <v>30</v>
      </c>
      <c r="G107" s="6" t="n">
        <v>57</v>
      </c>
      <c r="H107" s="4" t="s">
        <v>24</v>
      </c>
      <c r="I107" s="4" t="s">
        <v>31</v>
      </c>
    </row>
    <row r="108" customFormat="false" ht="15" hidden="false" customHeight="false" outlineLevel="0" collapsed="false">
      <c r="A108" s="4" t="s">
        <v>58</v>
      </c>
      <c r="B108" s="4" t="s">
        <v>33</v>
      </c>
      <c r="C108" s="4" t="n">
        <v>100</v>
      </c>
      <c r="D108" s="4" t="s">
        <v>22</v>
      </c>
      <c r="E108" s="4" t="s">
        <v>33</v>
      </c>
      <c r="F108" s="7" t="s">
        <v>30</v>
      </c>
      <c r="G108" s="6" t="n">
        <v>28</v>
      </c>
      <c r="H108" s="4" t="s">
        <v>24</v>
      </c>
      <c r="I108" s="4" t="s">
        <v>34</v>
      </c>
    </row>
    <row r="109" customFormat="false" ht="15" hidden="false" customHeight="false" outlineLevel="0" collapsed="false">
      <c r="A109" s="4" t="s">
        <v>59</v>
      </c>
      <c r="B109" s="4" t="s">
        <v>29</v>
      </c>
      <c r="C109" s="4" t="n">
        <v>400</v>
      </c>
      <c r="D109" s="4" t="s">
        <v>22</v>
      </c>
      <c r="E109" s="4" t="s">
        <v>29</v>
      </c>
      <c r="F109" s="7" t="s">
        <v>30</v>
      </c>
      <c r="G109" s="6" t="n">
        <v>46</v>
      </c>
      <c r="H109" s="4" t="s">
        <v>24</v>
      </c>
      <c r="I109" s="4" t="s">
        <v>31</v>
      </c>
    </row>
    <row r="110" customFormat="false" ht="15" hidden="false" customHeight="false" outlineLevel="0" collapsed="false">
      <c r="A110" s="4" t="s">
        <v>59</v>
      </c>
      <c r="B110" s="4" t="s">
        <v>33</v>
      </c>
      <c r="C110" s="4" t="n">
        <v>100</v>
      </c>
      <c r="D110" s="4" t="s">
        <v>22</v>
      </c>
      <c r="E110" s="4" t="s">
        <v>33</v>
      </c>
      <c r="F110" s="7" t="s">
        <v>30</v>
      </c>
      <c r="G110" s="6" t="n">
        <v>103</v>
      </c>
      <c r="H110" s="4" t="s">
        <v>24</v>
      </c>
      <c r="I110" s="4" t="s">
        <v>34</v>
      </c>
    </row>
    <row r="111" customFormat="false" ht="15" hidden="false" customHeight="false" outlineLevel="0" collapsed="false">
      <c r="A111" s="4" t="s">
        <v>60</v>
      </c>
      <c r="B111" s="4" t="s">
        <v>29</v>
      </c>
      <c r="C111" s="4" t="n">
        <v>400</v>
      </c>
      <c r="D111" s="4" t="s">
        <v>22</v>
      </c>
      <c r="E111" s="4" t="s">
        <v>29</v>
      </c>
      <c r="F111" s="7" t="s">
        <v>30</v>
      </c>
      <c r="G111" s="6" t="n">
        <v>68</v>
      </c>
      <c r="H111" s="4" t="s">
        <v>24</v>
      </c>
      <c r="I111" s="4" t="s">
        <v>31</v>
      </c>
    </row>
    <row r="112" customFormat="false" ht="15" hidden="false" customHeight="false" outlineLevel="0" collapsed="false">
      <c r="A112" s="4" t="s">
        <v>60</v>
      </c>
      <c r="B112" s="4" t="s">
        <v>29</v>
      </c>
      <c r="C112" s="4" t="n">
        <v>1000</v>
      </c>
      <c r="D112" s="4" t="s">
        <v>22</v>
      </c>
      <c r="E112" s="4" t="s">
        <v>29</v>
      </c>
      <c r="F112" s="7" t="s">
        <v>30</v>
      </c>
      <c r="G112" s="6" t="n">
        <v>18</v>
      </c>
      <c r="H112" s="4" t="s">
        <v>24</v>
      </c>
      <c r="I112" s="4" t="s">
        <v>32</v>
      </c>
    </row>
    <row r="113" customFormat="false" ht="15" hidden="false" customHeight="false" outlineLevel="0" collapsed="false">
      <c r="A113" s="4" t="s">
        <v>60</v>
      </c>
      <c r="B113" s="4" t="s">
        <v>33</v>
      </c>
      <c r="C113" s="4" t="n">
        <v>100</v>
      </c>
      <c r="D113" s="4" t="s">
        <v>22</v>
      </c>
      <c r="E113" s="4" t="s">
        <v>33</v>
      </c>
      <c r="F113" s="7" t="s">
        <v>30</v>
      </c>
      <c r="G113" s="6" t="n">
        <v>236</v>
      </c>
      <c r="H113" s="4" t="s">
        <v>24</v>
      </c>
      <c r="I113" s="4" t="s">
        <v>34</v>
      </c>
    </row>
    <row r="114" customFormat="false" ht="15" hidden="false" customHeight="false" outlineLevel="0" collapsed="false">
      <c r="A114" s="4" t="s">
        <v>60</v>
      </c>
      <c r="B114" s="4" t="s">
        <v>33</v>
      </c>
      <c r="C114" s="4" t="n">
        <v>500</v>
      </c>
      <c r="D114" s="4" t="s">
        <v>22</v>
      </c>
      <c r="E114" s="4" t="s">
        <v>33</v>
      </c>
      <c r="F114" s="7" t="s">
        <v>30</v>
      </c>
      <c r="G114" s="6" t="n">
        <v>2</v>
      </c>
      <c r="H114" s="4" t="s">
        <v>24</v>
      </c>
      <c r="I114" s="4" t="s">
        <v>31</v>
      </c>
    </row>
    <row r="115" customFormat="false" ht="15" hidden="false" customHeight="false" outlineLevel="0" collapsed="false">
      <c r="A115" s="4" t="s">
        <v>60</v>
      </c>
      <c r="B115" s="4" t="s">
        <v>33</v>
      </c>
      <c r="C115" s="4" t="n">
        <v>1000</v>
      </c>
      <c r="D115" s="4" t="s">
        <v>22</v>
      </c>
      <c r="E115" s="4" t="s">
        <v>33</v>
      </c>
      <c r="F115" s="7" t="s">
        <v>30</v>
      </c>
      <c r="G115" s="6" t="n">
        <v>18</v>
      </c>
      <c r="H115" s="4" t="s">
        <v>24</v>
      </c>
      <c r="I115" s="4" t="s">
        <v>32</v>
      </c>
    </row>
    <row r="116" customFormat="false" ht="15" hidden="false" customHeight="false" outlineLevel="0" collapsed="false">
      <c r="A116" s="4" t="s">
        <v>61</v>
      </c>
      <c r="B116" s="4" t="s">
        <v>33</v>
      </c>
      <c r="C116" s="4" t="n">
        <v>500</v>
      </c>
      <c r="D116" s="4" t="s">
        <v>22</v>
      </c>
      <c r="E116" s="4" t="s">
        <v>33</v>
      </c>
      <c r="F116" s="7" t="s">
        <v>30</v>
      </c>
      <c r="G116" s="6" t="n">
        <v>18</v>
      </c>
      <c r="H116" s="4" t="s">
        <v>24</v>
      </c>
      <c r="I116" s="4" t="s">
        <v>31</v>
      </c>
    </row>
    <row r="117" customFormat="false" ht="15" hidden="false" customHeight="false" outlineLevel="0" collapsed="false">
      <c r="A117" s="4" t="s">
        <v>62</v>
      </c>
      <c r="B117" s="4" t="s">
        <v>29</v>
      </c>
      <c r="C117" s="4" t="n">
        <v>400</v>
      </c>
      <c r="D117" s="4" t="s">
        <v>22</v>
      </c>
      <c r="E117" s="4" t="s">
        <v>29</v>
      </c>
      <c r="F117" s="7" t="s">
        <v>30</v>
      </c>
      <c r="G117" s="6" t="n">
        <v>6</v>
      </c>
      <c r="H117" s="4" t="s">
        <v>24</v>
      </c>
      <c r="I117" s="4" t="s">
        <v>31</v>
      </c>
    </row>
    <row r="118" customFormat="false" ht="15" hidden="false" customHeight="false" outlineLevel="0" collapsed="false">
      <c r="A118" s="4" t="s">
        <v>62</v>
      </c>
      <c r="B118" s="4" t="s">
        <v>29</v>
      </c>
      <c r="C118" s="4" t="n">
        <v>1000</v>
      </c>
      <c r="D118" s="4" t="s">
        <v>22</v>
      </c>
      <c r="E118" s="4" t="s">
        <v>29</v>
      </c>
      <c r="F118" s="7" t="s">
        <v>30</v>
      </c>
      <c r="G118" s="6" t="n">
        <v>2</v>
      </c>
      <c r="H118" s="4" t="s">
        <v>24</v>
      </c>
      <c r="I118" s="4" t="s">
        <v>32</v>
      </c>
    </row>
    <row r="119" customFormat="false" ht="15" hidden="false" customHeight="false" outlineLevel="0" collapsed="false">
      <c r="A119" s="4" t="s">
        <v>62</v>
      </c>
      <c r="B119" s="4" t="s">
        <v>33</v>
      </c>
      <c r="C119" s="4" t="n">
        <v>500</v>
      </c>
      <c r="D119" s="4" t="s">
        <v>22</v>
      </c>
      <c r="E119" s="4" t="s">
        <v>33</v>
      </c>
      <c r="F119" s="7" t="s">
        <v>30</v>
      </c>
      <c r="G119" s="6" t="n">
        <v>23</v>
      </c>
      <c r="H119" s="4" t="s">
        <v>24</v>
      </c>
      <c r="I119" s="4" t="s">
        <v>31</v>
      </c>
    </row>
    <row r="120" customFormat="false" ht="15" hidden="false" customHeight="false" outlineLevel="0" collapsed="false">
      <c r="A120" s="4" t="s">
        <v>63</v>
      </c>
      <c r="B120" s="4" t="s">
        <v>33</v>
      </c>
      <c r="C120" s="4" t="n">
        <v>100</v>
      </c>
      <c r="D120" s="4" t="s">
        <v>22</v>
      </c>
      <c r="E120" s="4" t="s">
        <v>33</v>
      </c>
      <c r="F120" s="7" t="s">
        <v>30</v>
      </c>
      <c r="G120" s="6" t="n">
        <v>27</v>
      </c>
      <c r="H120" s="4" t="s">
        <v>24</v>
      </c>
      <c r="I120" s="4" t="s">
        <v>34</v>
      </c>
    </row>
    <row r="121" customFormat="false" ht="15" hidden="false" customHeight="false" outlineLevel="0" collapsed="false">
      <c r="A121" s="4" t="s">
        <v>63</v>
      </c>
      <c r="B121" s="4" t="s">
        <v>33</v>
      </c>
      <c r="C121" s="4" t="n">
        <v>500</v>
      </c>
      <c r="D121" s="4" t="s">
        <v>22</v>
      </c>
      <c r="E121" s="4" t="s">
        <v>33</v>
      </c>
      <c r="F121" s="7" t="s">
        <v>30</v>
      </c>
      <c r="G121" s="6" t="n">
        <v>379</v>
      </c>
      <c r="H121" s="4" t="s">
        <v>24</v>
      </c>
      <c r="I121" s="4" t="s">
        <v>31</v>
      </c>
    </row>
    <row r="122" customFormat="false" ht="15" hidden="false" customHeight="false" outlineLevel="0" collapsed="false">
      <c r="A122" s="4" t="s">
        <v>64</v>
      </c>
      <c r="B122" s="4" t="s">
        <v>29</v>
      </c>
      <c r="C122" s="4" t="n">
        <v>400</v>
      </c>
      <c r="D122" s="4" t="s">
        <v>22</v>
      </c>
      <c r="E122" s="4" t="s">
        <v>29</v>
      </c>
      <c r="F122" s="7" t="s">
        <v>30</v>
      </c>
      <c r="G122" s="6" t="n">
        <v>6</v>
      </c>
      <c r="H122" s="4" t="s">
        <v>24</v>
      </c>
      <c r="I122" s="4" t="s">
        <v>31</v>
      </c>
    </row>
    <row r="123" customFormat="false" ht="15" hidden="false" customHeight="false" outlineLevel="0" collapsed="false">
      <c r="A123" s="4" t="s">
        <v>64</v>
      </c>
      <c r="B123" s="4" t="s">
        <v>33</v>
      </c>
      <c r="C123" s="4" t="n">
        <v>100</v>
      </c>
      <c r="D123" s="4" t="s">
        <v>22</v>
      </c>
      <c r="E123" s="4" t="s">
        <v>33</v>
      </c>
      <c r="F123" s="7" t="s">
        <v>30</v>
      </c>
      <c r="G123" s="6" t="n">
        <v>7</v>
      </c>
      <c r="H123" s="4" t="s">
        <v>24</v>
      </c>
      <c r="I123" s="4" t="s">
        <v>34</v>
      </c>
    </row>
    <row r="124" customFormat="false" ht="15" hidden="false" customHeight="false" outlineLevel="0" collapsed="false">
      <c r="A124" s="4" t="s">
        <v>64</v>
      </c>
      <c r="B124" s="4" t="s">
        <v>33</v>
      </c>
      <c r="C124" s="4" t="n">
        <v>500</v>
      </c>
      <c r="D124" s="4" t="s">
        <v>22</v>
      </c>
      <c r="E124" s="4" t="s">
        <v>33</v>
      </c>
      <c r="F124" s="7" t="s">
        <v>30</v>
      </c>
      <c r="G124" s="6" t="n">
        <v>11</v>
      </c>
      <c r="H124" s="4" t="s">
        <v>24</v>
      </c>
      <c r="I124" s="4" t="s">
        <v>31</v>
      </c>
    </row>
    <row r="125" customFormat="false" ht="15" hidden="false" customHeight="false" outlineLevel="0" collapsed="false">
      <c r="A125" s="4" t="s">
        <v>64</v>
      </c>
      <c r="B125" s="4" t="s">
        <v>33</v>
      </c>
      <c r="C125" s="4" t="n">
        <v>1000</v>
      </c>
      <c r="D125" s="4" t="s">
        <v>22</v>
      </c>
      <c r="E125" s="4" t="s">
        <v>33</v>
      </c>
      <c r="F125" s="7" t="s">
        <v>30</v>
      </c>
      <c r="G125" s="6" t="n">
        <v>7</v>
      </c>
      <c r="H125" s="4" t="s">
        <v>24</v>
      </c>
      <c r="I125" s="4" t="s">
        <v>32</v>
      </c>
    </row>
    <row r="126" customFormat="false" ht="15" hidden="false" customHeight="false" outlineLevel="0" collapsed="false">
      <c r="A126" s="4" t="s">
        <v>65</v>
      </c>
      <c r="B126" s="4" t="s">
        <v>29</v>
      </c>
      <c r="C126" s="4" t="n">
        <v>1000</v>
      </c>
      <c r="D126" s="4" t="s">
        <v>22</v>
      </c>
      <c r="E126" s="4" t="s">
        <v>29</v>
      </c>
      <c r="F126" s="7" t="s">
        <v>30</v>
      </c>
      <c r="G126" s="6" t="n">
        <v>9</v>
      </c>
      <c r="H126" s="4" t="s">
        <v>24</v>
      </c>
      <c r="I126" s="4" t="s">
        <v>32</v>
      </c>
    </row>
    <row r="127" customFormat="false" ht="15" hidden="false" customHeight="false" outlineLevel="0" collapsed="false">
      <c r="A127" s="4" t="s">
        <v>65</v>
      </c>
      <c r="B127" s="4" t="s">
        <v>33</v>
      </c>
      <c r="C127" s="4" t="n">
        <v>500</v>
      </c>
      <c r="D127" s="4" t="s">
        <v>22</v>
      </c>
      <c r="E127" s="4" t="s">
        <v>33</v>
      </c>
      <c r="F127" s="7" t="s">
        <v>30</v>
      </c>
      <c r="G127" s="6" t="n">
        <v>1</v>
      </c>
      <c r="H127" s="4" t="s">
        <v>24</v>
      </c>
      <c r="I127" s="4" t="s">
        <v>31</v>
      </c>
    </row>
    <row r="128" customFormat="false" ht="15" hidden="false" customHeight="false" outlineLevel="0" collapsed="false">
      <c r="A128" s="4" t="s">
        <v>66</v>
      </c>
      <c r="B128" s="4" t="s">
        <v>29</v>
      </c>
      <c r="C128" s="4" t="n">
        <v>1000</v>
      </c>
      <c r="D128" s="4" t="s">
        <v>22</v>
      </c>
      <c r="E128" s="4" t="s">
        <v>29</v>
      </c>
      <c r="F128" s="7" t="s">
        <v>30</v>
      </c>
      <c r="G128" s="6" t="n">
        <v>22</v>
      </c>
      <c r="H128" s="4" t="s">
        <v>24</v>
      </c>
      <c r="I128" s="4" t="s">
        <v>32</v>
      </c>
    </row>
    <row r="129" customFormat="false" ht="15" hidden="false" customHeight="false" outlineLevel="0" collapsed="false">
      <c r="A129" s="4" t="s">
        <v>66</v>
      </c>
      <c r="B129" s="4" t="s">
        <v>33</v>
      </c>
      <c r="C129" s="4" t="n">
        <v>500</v>
      </c>
      <c r="D129" s="4" t="s">
        <v>22</v>
      </c>
      <c r="E129" s="4" t="s">
        <v>33</v>
      </c>
      <c r="F129" s="7" t="s">
        <v>30</v>
      </c>
      <c r="G129" s="6" t="n">
        <v>6</v>
      </c>
      <c r="H129" s="4" t="s">
        <v>24</v>
      </c>
      <c r="I129" s="4" t="s">
        <v>31</v>
      </c>
    </row>
    <row r="130" customFormat="false" ht="15" hidden="false" customHeight="false" outlineLevel="0" collapsed="false">
      <c r="A130" s="4" t="s">
        <v>67</v>
      </c>
      <c r="B130" s="4" t="s">
        <v>29</v>
      </c>
      <c r="C130" s="4" t="n">
        <v>400</v>
      </c>
      <c r="D130" s="4" t="s">
        <v>22</v>
      </c>
      <c r="E130" s="4" t="s">
        <v>29</v>
      </c>
      <c r="F130" s="7" t="s">
        <v>30</v>
      </c>
      <c r="G130" s="6" t="n">
        <v>5</v>
      </c>
      <c r="H130" s="4" t="s">
        <v>24</v>
      </c>
      <c r="I130" s="4" t="s">
        <v>31</v>
      </c>
    </row>
    <row r="131" customFormat="false" ht="15" hidden="false" customHeight="false" outlineLevel="0" collapsed="false">
      <c r="A131" s="4" t="s">
        <v>67</v>
      </c>
      <c r="B131" s="4" t="s">
        <v>33</v>
      </c>
      <c r="C131" s="4" t="n">
        <v>500</v>
      </c>
      <c r="D131" s="4" t="s">
        <v>22</v>
      </c>
      <c r="E131" s="4" t="s">
        <v>33</v>
      </c>
      <c r="F131" s="7" t="s">
        <v>30</v>
      </c>
      <c r="G131" s="6" t="n">
        <v>6</v>
      </c>
      <c r="H131" s="4" t="s">
        <v>24</v>
      </c>
      <c r="I131" s="4" t="s">
        <v>31</v>
      </c>
    </row>
    <row r="132" customFormat="false" ht="15" hidden="false" customHeight="false" outlineLevel="0" collapsed="false">
      <c r="A132" s="4" t="s">
        <v>68</v>
      </c>
      <c r="B132" s="4" t="s">
        <v>18</v>
      </c>
      <c r="C132" s="4" t="n">
        <v>150</v>
      </c>
      <c r="D132" s="4" t="s">
        <v>22</v>
      </c>
      <c r="E132" s="4" t="s">
        <v>18</v>
      </c>
      <c r="F132" s="7" t="s">
        <v>30</v>
      </c>
      <c r="G132" s="6" t="n">
        <v>9</v>
      </c>
      <c r="H132" s="4" t="s">
        <v>24</v>
      </c>
      <c r="I132" s="4" t="s">
        <v>25</v>
      </c>
    </row>
    <row r="133" customFormat="false" ht="15" hidden="false" customHeight="false" outlineLevel="0" collapsed="false">
      <c r="A133" s="4" t="s">
        <v>69</v>
      </c>
      <c r="B133" s="4" t="s">
        <v>33</v>
      </c>
      <c r="C133" s="4" t="n">
        <v>100</v>
      </c>
      <c r="D133" s="4" t="s">
        <v>22</v>
      </c>
      <c r="E133" s="4" t="s">
        <v>33</v>
      </c>
      <c r="F133" s="7" t="s">
        <v>30</v>
      </c>
      <c r="G133" s="6" t="n">
        <v>2</v>
      </c>
      <c r="H133" s="4" t="s">
        <v>24</v>
      </c>
      <c r="I133" s="4" t="s">
        <v>34</v>
      </c>
    </row>
    <row r="134" customFormat="false" ht="15" hidden="false" customHeight="false" outlineLevel="0" collapsed="false">
      <c r="A134" s="4" t="s">
        <v>69</v>
      </c>
      <c r="B134" s="4" t="s">
        <v>18</v>
      </c>
      <c r="C134" s="4" t="n">
        <v>150</v>
      </c>
      <c r="D134" s="4" t="s">
        <v>22</v>
      </c>
      <c r="E134" s="4" t="s">
        <v>18</v>
      </c>
      <c r="F134" s="7" t="s">
        <v>30</v>
      </c>
      <c r="G134" s="6" t="n">
        <v>8</v>
      </c>
      <c r="H134" s="4" t="s">
        <v>24</v>
      </c>
      <c r="I134" s="4" t="s">
        <v>25</v>
      </c>
    </row>
    <row r="135" customFormat="false" ht="15" hidden="false" customHeight="false" outlineLevel="0" collapsed="false">
      <c r="A135" s="4" t="s">
        <v>69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 t="s">
        <v>17</v>
      </c>
    </row>
    <row r="136" customFormat="false" ht="15" hidden="false" customHeight="false" outlineLevel="0" collapsed="false">
      <c r="A136" s="4" t="s">
        <v>69</v>
      </c>
      <c r="B136" s="4" t="s">
        <v>12</v>
      </c>
      <c r="C136" s="4" t="n">
        <v>500</v>
      </c>
      <c r="D136" s="4" t="s">
        <v>22</v>
      </c>
      <c r="E136" s="4" t="s">
        <v>35</v>
      </c>
      <c r="F136" s="5" t="s">
        <v>15</v>
      </c>
      <c r="G136" s="6" t="n">
        <v>10</v>
      </c>
      <c r="H136" s="4" t="s">
        <v>24</v>
      </c>
      <c r="I136" s="4" t="s">
        <v>31</v>
      </c>
    </row>
    <row r="137" customFormat="false" ht="15" hidden="false" customHeight="false" outlineLevel="0" collapsed="false">
      <c r="A137" s="4" t="s">
        <v>69</v>
      </c>
      <c r="B137" s="4" t="s">
        <v>29</v>
      </c>
      <c r="C137" s="4" t="n">
        <v>15</v>
      </c>
      <c r="D137" s="4" t="s">
        <v>13</v>
      </c>
      <c r="E137" s="4" t="s">
        <v>36</v>
      </c>
      <c r="F137" s="5" t="s">
        <v>15</v>
      </c>
      <c r="G137" s="6" t="n">
        <v>100</v>
      </c>
      <c r="H137" s="4" t="s">
        <v>16</v>
      </c>
      <c r="I137" s="4" t="s">
        <v>17</v>
      </c>
    </row>
    <row r="138" customFormat="false" ht="15" hidden="false" customHeight="false" outlineLevel="0" collapsed="false">
      <c r="A138" s="4" t="s">
        <v>69</v>
      </c>
      <c r="B138" s="4" t="s">
        <v>29</v>
      </c>
      <c r="C138" s="4" t="n">
        <v>100</v>
      </c>
      <c r="D138" s="4" t="s">
        <v>22</v>
      </c>
      <c r="E138" s="4" t="s">
        <v>36</v>
      </c>
      <c r="F138" s="5" t="s">
        <v>15</v>
      </c>
      <c r="G138" s="6" t="n">
        <v>30</v>
      </c>
      <c r="H138" s="4" t="s">
        <v>24</v>
      </c>
      <c r="I138" s="4" t="s">
        <v>34</v>
      </c>
    </row>
    <row r="139" customFormat="false" ht="15" hidden="false" customHeight="false" outlineLevel="0" collapsed="false">
      <c r="A139" s="4" t="s">
        <v>69</v>
      </c>
      <c r="B139" s="4" t="s">
        <v>18</v>
      </c>
      <c r="C139" s="4" t="n">
        <v>250</v>
      </c>
      <c r="D139" s="4" t="s">
        <v>19</v>
      </c>
      <c r="E139" s="4" t="s">
        <v>20</v>
      </c>
      <c r="F139" s="5" t="s">
        <v>15</v>
      </c>
      <c r="G139" s="6" t="n">
        <v>8</v>
      </c>
      <c r="H139" s="4" t="s">
        <v>16</v>
      </c>
      <c r="I139" s="4" t="s">
        <v>21</v>
      </c>
    </row>
    <row r="140" customFormat="false" ht="15" hidden="false" customHeight="false" outlineLevel="0" collapsed="false">
      <c r="A140" s="4" t="s">
        <v>69</v>
      </c>
      <c r="B140" s="4" t="s">
        <v>18</v>
      </c>
      <c r="C140" s="4" t="n">
        <v>250</v>
      </c>
      <c r="D140" s="4" t="s">
        <v>22</v>
      </c>
      <c r="E140" s="4" t="s">
        <v>23</v>
      </c>
      <c r="F140" s="5" t="s">
        <v>15</v>
      </c>
      <c r="G140" s="6" t="n">
        <v>2</v>
      </c>
      <c r="H140" s="4" t="s">
        <v>24</v>
      </c>
      <c r="I140" s="4" t="s">
        <v>25</v>
      </c>
    </row>
    <row r="141" customFormat="false" ht="15" hidden="false" customHeight="false" outlineLevel="0" collapsed="false">
      <c r="A141" s="4" t="s">
        <v>69</v>
      </c>
      <c r="B141" s="4" t="s">
        <v>18</v>
      </c>
      <c r="C141" s="4" t="n">
        <v>250</v>
      </c>
      <c r="D141" s="4" t="s">
        <v>26</v>
      </c>
      <c r="E141" s="4" t="s">
        <v>27</v>
      </c>
      <c r="F141" s="5" t="s">
        <v>15</v>
      </c>
      <c r="G141" s="6" t="n">
        <v>8</v>
      </c>
      <c r="H141" s="4" t="s">
        <v>16</v>
      </c>
      <c r="I141" s="4" t="s">
        <v>21</v>
      </c>
    </row>
    <row r="142" customFormat="false" ht="15" hidden="false" customHeight="false" outlineLevel="0" collapsed="false">
      <c r="A142" s="4" t="s">
        <v>70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 t="s">
        <v>17</v>
      </c>
    </row>
    <row r="143" customFormat="false" ht="15" hidden="false" customHeight="false" outlineLevel="0" collapsed="false">
      <c r="A143" s="4" t="s">
        <v>70</v>
      </c>
      <c r="B143" s="4" t="s">
        <v>18</v>
      </c>
      <c r="C143" s="4" t="n">
        <v>250</v>
      </c>
      <c r="D143" s="4" t="s">
        <v>19</v>
      </c>
      <c r="E143" s="4" t="s">
        <v>20</v>
      </c>
      <c r="F143" s="5" t="s">
        <v>15</v>
      </c>
      <c r="G143" s="6" t="n">
        <v>18</v>
      </c>
      <c r="H143" s="4" t="s">
        <v>16</v>
      </c>
      <c r="I143" s="4" t="s">
        <v>21</v>
      </c>
    </row>
    <row r="144" customFormat="false" ht="15" hidden="false" customHeight="false" outlineLevel="0" collapsed="false">
      <c r="A144" s="4" t="s">
        <v>70</v>
      </c>
      <c r="B144" s="4" t="s">
        <v>18</v>
      </c>
      <c r="C144" s="4" t="n">
        <v>250</v>
      </c>
      <c r="D144" s="4" t="s">
        <v>22</v>
      </c>
      <c r="E144" s="4" t="s">
        <v>23</v>
      </c>
      <c r="F144" s="5" t="s">
        <v>15</v>
      </c>
      <c r="G144" s="6" t="n">
        <v>12</v>
      </c>
      <c r="H144" s="4" t="s">
        <v>24</v>
      </c>
      <c r="I144" s="4" t="s">
        <v>25</v>
      </c>
    </row>
    <row r="145" customFormat="false" ht="15" hidden="false" customHeight="false" outlineLevel="0" collapsed="false">
      <c r="A145" s="4" t="s">
        <v>70</v>
      </c>
      <c r="B145" s="4" t="s">
        <v>18</v>
      </c>
      <c r="C145" s="4" t="n">
        <v>250</v>
      </c>
      <c r="D145" s="4" t="s">
        <v>26</v>
      </c>
      <c r="E145" s="4" t="s">
        <v>27</v>
      </c>
      <c r="F145" s="5" t="s">
        <v>15</v>
      </c>
      <c r="G145" s="6" t="n">
        <v>18</v>
      </c>
      <c r="H145" s="4" t="s">
        <v>16</v>
      </c>
      <c r="I145" s="4" t="s">
        <v>21</v>
      </c>
    </row>
    <row r="146" customFormat="false" ht="15" hidden="false" customHeight="false" outlineLevel="0" collapsed="false">
      <c r="A146" s="4" t="s">
        <v>71</v>
      </c>
      <c r="B146" s="4" t="s">
        <v>29</v>
      </c>
      <c r="C146" s="4" t="n">
        <v>400</v>
      </c>
      <c r="D146" s="4" t="s">
        <v>22</v>
      </c>
      <c r="E146" s="4" t="s">
        <v>29</v>
      </c>
      <c r="F146" s="7" t="s">
        <v>30</v>
      </c>
      <c r="G146" s="6" t="n">
        <v>9</v>
      </c>
      <c r="H146" s="4" t="s">
        <v>24</v>
      </c>
      <c r="I146" s="4" t="s">
        <v>31</v>
      </c>
    </row>
    <row r="147" customFormat="false" ht="15" hidden="false" customHeight="false" outlineLevel="0" collapsed="false">
      <c r="A147" s="4" t="s">
        <v>72</v>
      </c>
      <c r="B147" s="4" t="s">
        <v>29</v>
      </c>
      <c r="C147" s="4" t="n">
        <v>400</v>
      </c>
      <c r="D147" s="4" t="s">
        <v>22</v>
      </c>
      <c r="E147" s="4" t="s">
        <v>29</v>
      </c>
      <c r="F147" s="7" t="s">
        <v>30</v>
      </c>
      <c r="G147" s="6" t="n">
        <v>26</v>
      </c>
      <c r="H147" s="4" t="s">
        <v>24</v>
      </c>
      <c r="I147" s="4" t="s">
        <v>31</v>
      </c>
    </row>
    <row r="148" customFormat="false" ht="15" hidden="false" customHeight="false" outlineLevel="0" collapsed="false">
      <c r="A148" s="4" t="s">
        <v>72</v>
      </c>
      <c r="B148" s="4" t="s">
        <v>33</v>
      </c>
      <c r="C148" s="4" t="n">
        <v>100</v>
      </c>
      <c r="D148" s="4" t="s">
        <v>22</v>
      </c>
      <c r="E148" s="4" t="s">
        <v>33</v>
      </c>
      <c r="F148" s="7" t="s">
        <v>30</v>
      </c>
      <c r="G148" s="6" t="n">
        <v>3</v>
      </c>
      <c r="H148" s="4" t="s">
        <v>24</v>
      </c>
      <c r="I148" s="4" t="s">
        <v>34</v>
      </c>
    </row>
    <row r="149" customFormat="false" ht="15" hidden="false" customHeight="false" outlineLevel="0" collapsed="false">
      <c r="A149" s="4" t="s">
        <v>72</v>
      </c>
      <c r="B149" s="4" t="s">
        <v>33</v>
      </c>
      <c r="C149" s="4" t="n">
        <v>500</v>
      </c>
      <c r="D149" s="4" t="s">
        <v>22</v>
      </c>
      <c r="E149" s="4" t="s">
        <v>33</v>
      </c>
      <c r="F149" s="7" t="s">
        <v>30</v>
      </c>
      <c r="G149" s="6" t="n">
        <v>23</v>
      </c>
      <c r="H149" s="4" t="s">
        <v>24</v>
      </c>
      <c r="I149" s="4" t="s">
        <v>31</v>
      </c>
    </row>
    <row r="150" customFormat="false" ht="15" hidden="false" customHeight="false" outlineLevel="0" collapsed="false">
      <c r="A150" s="4" t="s">
        <v>72</v>
      </c>
      <c r="B150" s="4" t="s">
        <v>33</v>
      </c>
      <c r="C150" s="4" t="n">
        <v>1000</v>
      </c>
      <c r="D150" s="4" t="s">
        <v>22</v>
      </c>
      <c r="E150" s="4" t="s">
        <v>33</v>
      </c>
      <c r="F150" s="7" t="s">
        <v>30</v>
      </c>
      <c r="G150" s="6" t="n">
        <v>3</v>
      </c>
      <c r="H150" s="4" t="s">
        <v>24</v>
      </c>
      <c r="I150" s="4" t="s">
        <v>32</v>
      </c>
    </row>
    <row r="151" customFormat="false" ht="15" hidden="false" customHeight="false" outlineLevel="0" collapsed="false">
      <c r="A151" s="4" t="s">
        <v>72</v>
      </c>
      <c r="B151" s="4" t="s">
        <v>18</v>
      </c>
      <c r="C151" s="4" t="n">
        <v>250</v>
      </c>
      <c r="D151" s="4" t="s">
        <v>22</v>
      </c>
      <c r="E151" s="4" t="s">
        <v>18</v>
      </c>
      <c r="F151" s="7" t="s">
        <v>30</v>
      </c>
      <c r="G151" s="6" t="n">
        <v>6</v>
      </c>
      <c r="H151" s="4" t="s">
        <v>24</v>
      </c>
      <c r="I151" s="4" t="s">
        <v>25</v>
      </c>
    </row>
    <row r="152" customFormat="false" ht="15" hidden="false" customHeight="false" outlineLevel="0" collapsed="false">
      <c r="A152" s="4" t="s">
        <v>73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 t="s">
        <v>17</v>
      </c>
    </row>
    <row r="153" customFormat="false" ht="15" hidden="false" customHeight="false" outlineLevel="0" collapsed="false">
      <c r="A153" s="4" t="s">
        <v>73</v>
      </c>
      <c r="B153" s="4" t="s">
        <v>12</v>
      </c>
      <c r="C153" s="4" t="n">
        <v>500</v>
      </c>
      <c r="D153" s="4" t="s">
        <v>22</v>
      </c>
      <c r="E153" s="4" t="s">
        <v>35</v>
      </c>
      <c r="F153" s="5" t="s">
        <v>15</v>
      </c>
      <c r="G153" s="6" t="n">
        <v>10</v>
      </c>
      <c r="H153" s="4" t="s">
        <v>24</v>
      </c>
      <c r="I153" s="4" t="s">
        <v>31</v>
      </c>
    </row>
    <row r="154" customFormat="false" ht="15" hidden="false" customHeight="false" outlineLevel="0" collapsed="false">
      <c r="A154" s="4" t="s">
        <v>73</v>
      </c>
      <c r="B154" s="4" t="s">
        <v>29</v>
      </c>
      <c r="C154" s="4" t="n">
        <v>15</v>
      </c>
      <c r="D154" s="4" t="s">
        <v>13</v>
      </c>
      <c r="E154" s="4" t="s">
        <v>36</v>
      </c>
      <c r="F154" s="5" t="s">
        <v>15</v>
      </c>
      <c r="G154" s="6" t="n">
        <v>100</v>
      </c>
      <c r="H154" s="4" t="s">
        <v>16</v>
      </c>
      <c r="I154" s="4" t="s">
        <v>17</v>
      </c>
    </row>
    <row r="155" customFormat="false" ht="15" hidden="false" customHeight="false" outlineLevel="0" collapsed="false">
      <c r="A155" s="4" t="s">
        <v>73</v>
      </c>
      <c r="B155" s="4" t="s">
        <v>29</v>
      </c>
      <c r="C155" s="4" t="n">
        <v>100</v>
      </c>
      <c r="D155" s="4" t="s">
        <v>22</v>
      </c>
      <c r="E155" s="4" t="s">
        <v>36</v>
      </c>
      <c r="F155" s="5" t="s">
        <v>15</v>
      </c>
      <c r="G155" s="6" t="n">
        <v>30</v>
      </c>
      <c r="H155" s="4" t="s">
        <v>24</v>
      </c>
      <c r="I155" s="4" t="s">
        <v>34</v>
      </c>
    </row>
    <row r="156" customFormat="false" ht="15" hidden="false" customHeight="false" outlineLevel="0" collapsed="false">
      <c r="A156" s="4" t="s">
        <v>73</v>
      </c>
      <c r="B156" s="4" t="s">
        <v>18</v>
      </c>
      <c r="C156" s="4" t="n">
        <v>250</v>
      </c>
      <c r="D156" s="4" t="s">
        <v>19</v>
      </c>
      <c r="E156" s="4" t="s">
        <v>20</v>
      </c>
      <c r="F156" s="5" t="s">
        <v>15</v>
      </c>
      <c r="G156" s="6" t="n">
        <v>8</v>
      </c>
      <c r="H156" s="4" t="s">
        <v>16</v>
      </c>
      <c r="I156" s="4" t="s">
        <v>21</v>
      </c>
    </row>
    <row r="157" customFormat="false" ht="15" hidden="false" customHeight="false" outlineLevel="0" collapsed="false">
      <c r="A157" s="4" t="s">
        <v>73</v>
      </c>
      <c r="B157" s="4" t="s">
        <v>18</v>
      </c>
      <c r="C157" s="4" t="n">
        <v>250</v>
      </c>
      <c r="D157" s="4" t="s">
        <v>22</v>
      </c>
      <c r="E157" s="4" t="s">
        <v>23</v>
      </c>
      <c r="F157" s="5" t="s">
        <v>15</v>
      </c>
      <c r="G157" s="6" t="n">
        <v>2</v>
      </c>
      <c r="H157" s="4" t="s">
        <v>24</v>
      </c>
      <c r="I157" s="4" t="s">
        <v>25</v>
      </c>
    </row>
    <row r="158" customFormat="false" ht="15" hidden="false" customHeight="false" outlineLevel="0" collapsed="false">
      <c r="A158" s="4" t="s">
        <v>73</v>
      </c>
      <c r="B158" s="4" t="s">
        <v>18</v>
      </c>
      <c r="C158" s="4" t="n">
        <v>250</v>
      </c>
      <c r="D158" s="4" t="s">
        <v>26</v>
      </c>
      <c r="E158" s="4" t="s">
        <v>27</v>
      </c>
      <c r="F158" s="5" t="s">
        <v>15</v>
      </c>
      <c r="G158" s="6" t="n">
        <v>8</v>
      </c>
      <c r="H158" s="4" t="s">
        <v>16</v>
      </c>
      <c r="I158" s="4" t="s">
        <v>21</v>
      </c>
    </row>
    <row r="159" customFormat="false" ht="15" hidden="false" customHeight="false" outlineLevel="0" collapsed="false">
      <c r="A159" s="4" t="s">
        <v>74</v>
      </c>
      <c r="B159" s="4" t="s">
        <v>12</v>
      </c>
      <c r="C159" s="4" t="n">
        <v>150</v>
      </c>
      <c r="D159" s="4" t="s">
        <v>22</v>
      </c>
      <c r="E159" s="4" t="s">
        <v>12</v>
      </c>
      <c r="F159" s="7" t="s">
        <v>30</v>
      </c>
      <c r="G159" s="6" t="n">
        <v>9</v>
      </c>
      <c r="H159" s="4" t="s">
        <v>24</v>
      </c>
      <c r="I159" s="4" t="s">
        <v>25</v>
      </c>
    </row>
    <row r="160" customFormat="false" ht="15" hidden="false" customHeight="false" outlineLevel="0" collapsed="false">
      <c r="A160" s="4" t="s">
        <v>74</v>
      </c>
      <c r="B160" s="4" t="s">
        <v>12</v>
      </c>
      <c r="C160" s="4" t="n">
        <v>250</v>
      </c>
      <c r="D160" s="4" t="s">
        <v>22</v>
      </c>
      <c r="E160" s="4" t="s">
        <v>12</v>
      </c>
      <c r="F160" s="7" t="s">
        <v>30</v>
      </c>
      <c r="G160" s="6" t="n">
        <v>99</v>
      </c>
      <c r="H160" s="4" t="s">
        <v>24</v>
      </c>
      <c r="I160" s="4" t="s">
        <v>25</v>
      </c>
    </row>
    <row r="161" customFormat="false" ht="15" hidden="false" customHeight="false" outlineLevel="0" collapsed="false">
      <c r="A161" s="4" t="s">
        <v>74</v>
      </c>
      <c r="B161" s="4" t="s">
        <v>29</v>
      </c>
      <c r="C161" s="4" t="n">
        <v>160</v>
      </c>
      <c r="D161" s="4" t="s">
        <v>22</v>
      </c>
      <c r="E161" s="4" t="s">
        <v>29</v>
      </c>
      <c r="F161" s="7" t="s">
        <v>30</v>
      </c>
      <c r="G161" s="6" t="n">
        <v>9</v>
      </c>
      <c r="H161" s="4" t="s">
        <v>24</v>
      </c>
      <c r="I161" s="8"/>
    </row>
    <row r="162" customFormat="false" ht="15" hidden="false" customHeight="false" outlineLevel="0" collapsed="false">
      <c r="A162" s="4" t="s">
        <v>74</v>
      </c>
      <c r="B162" s="4" t="s">
        <v>29</v>
      </c>
      <c r="C162" s="4" t="n">
        <v>400</v>
      </c>
      <c r="D162" s="4" t="s">
        <v>22</v>
      </c>
      <c r="E162" s="4" t="s">
        <v>29</v>
      </c>
      <c r="F162" s="7" t="s">
        <v>30</v>
      </c>
      <c r="G162" s="6" t="n">
        <v>18</v>
      </c>
      <c r="H162" s="4" t="s">
        <v>24</v>
      </c>
      <c r="I162" s="4" t="s">
        <v>31</v>
      </c>
    </row>
    <row r="163" customFormat="false" ht="15" hidden="false" customHeight="false" outlineLevel="0" collapsed="false">
      <c r="A163" s="4" t="s">
        <v>74</v>
      </c>
      <c r="B163" s="4" t="s">
        <v>33</v>
      </c>
      <c r="C163" s="4" t="n">
        <v>100</v>
      </c>
      <c r="D163" s="4" t="s">
        <v>22</v>
      </c>
      <c r="E163" s="4" t="s">
        <v>33</v>
      </c>
      <c r="F163" s="7" t="s">
        <v>30</v>
      </c>
      <c r="G163" s="6" t="n">
        <v>14</v>
      </c>
      <c r="H163" s="4" t="s">
        <v>24</v>
      </c>
      <c r="I163" s="4" t="s">
        <v>34</v>
      </c>
    </row>
    <row r="164" customFormat="false" ht="15" hidden="false" customHeight="false" outlineLevel="0" collapsed="false">
      <c r="A164" s="4" t="s">
        <v>74</v>
      </c>
      <c r="B164" s="4" t="s">
        <v>33</v>
      </c>
      <c r="C164" s="4" t="n">
        <v>500</v>
      </c>
      <c r="D164" s="4" t="s">
        <v>22</v>
      </c>
      <c r="E164" s="4" t="s">
        <v>33</v>
      </c>
      <c r="F164" s="7" t="s">
        <v>30</v>
      </c>
      <c r="G164" s="6" t="n">
        <v>9</v>
      </c>
      <c r="H164" s="4" t="s">
        <v>24</v>
      </c>
      <c r="I164" s="4" t="s">
        <v>31</v>
      </c>
    </row>
    <row r="165" customFormat="false" ht="15" hidden="false" customHeight="false" outlineLevel="0" collapsed="false">
      <c r="A165" s="4" t="s">
        <v>75</v>
      </c>
      <c r="B165" s="4" t="s">
        <v>18</v>
      </c>
      <c r="C165" s="4" t="n">
        <v>100</v>
      </c>
      <c r="D165" s="4" t="s">
        <v>22</v>
      </c>
      <c r="E165" s="4" t="s">
        <v>76</v>
      </c>
      <c r="F165" s="5" t="s">
        <v>15</v>
      </c>
      <c r="G165" s="6" t="n">
        <v>150</v>
      </c>
      <c r="H165" s="4" t="s">
        <v>24</v>
      </c>
      <c r="I165" s="4" t="s">
        <v>34</v>
      </c>
    </row>
    <row r="166" customFormat="false" ht="15" hidden="false" customHeight="false" outlineLevel="0" collapsed="false">
      <c r="A166" s="4" t="s">
        <v>77</v>
      </c>
      <c r="B166" s="4" t="s">
        <v>33</v>
      </c>
      <c r="C166" s="4" t="n">
        <v>1000</v>
      </c>
      <c r="D166" s="4" t="s">
        <v>22</v>
      </c>
      <c r="E166" s="4" t="s">
        <v>33</v>
      </c>
      <c r="F166" s="7" t="s">
        <v>30</v>
      </c>
      <c r="G166" s="6" t="n">
        <v>9</v>
      </c>
      <c r="H166" s="4" t="s">
        <v>24</v>
      </c>
      <c r="I166" s="4" t="s">
        <v>32</v>
      </c>
    </row>
    <row r="167" customFormat="false" ht="15" hidden="false" customHeight="false" outlineLevel="0" collapsed="false">
      <c r="A167" s="4" t="s">
        <v>78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 t="s">
        <v>17</v>
      </c>
    </row>
    <row r="168" customFormat="false" ht="15" hidden="false" customHeight="false" outlineLevel="0" collapsed="false">
      <c r="A168" s="4" t="s">
        <v>78</v>
      </c>
      <c r="B168" s="4" t="s">
        <v>18</v>
      </c>
      <c r="C168" s="4" t="n">
        <v>250</v>
      </c>
      <c r="D168" s="4" t="s">
        <v>19</v>
      </c>
      <c r="E168" s="4" t="s">
        <v>20</v>
      </c>
      <c r="F168" s="5" t="s">
        <v>15</v>
      </c>
      <c r="G168" s="6" t="n">
        <v>18</v>
      </c>
      <c r="H168" s="4" t="s">
        <v>16</v>
      </c>
      <c r="I168" s="4" t="s">
        <v>21</v>
      </c>
    </row>
    <row r="169" customFormat="false" ht="15" hidden="false" customHeight="false" outlineLevel="0" collapsed="false">
      <c r="A169" s="4" t="s">
        <v>78</v>
      </c>
      <c r="B169" s="4" t="s">
        <v>18</v>
      </c>
      <c r="C169" s="4" t="n">
        <v>250</v>
      </c>
      <c r="D169" s="4" t="s">
        <v>22</v>
      </c>
      <c r="E169" s="4" t="s">
        <v>23</v>
      </c>
      <c r="F169" s="5" t="s">
        <v>15</v>
      </c>
      <c r="G169" s="6" t="n">
        <v>12</v>
      </c>
      <c r="H169" s="4" t="s">
        <v>24</v>
      </c>
      <c r="I169" s="4" t="s">
        <v>25</v>
      </c>
    </row>
    <row r="170" customFormat="false" ht="15" hidden="false" customHeight="false" outlineLevel="0" collapsed="false">
      <c r="A170" s="4" t="s">
        <v>78</v>
      </c>
      <c r="B170" s="4" t="s">
        <v>18</v>
      </c>
      <c r="C170" s="4" t="n">
        <v>250</v>
      </c>
      <c r="D170" s="4" t="s">
        <v>26</v>
      </c>
      <c r="E170" s="4" t="s">
        <v>27</v>
      </c>
      <c r="F170" s="5" t="s">
        <v>15</v>
      </c>
      <c r="G170" s="6" t="n">
        <v>18</v>
      </c>
      <c r="H170" s="4" t="s">
        <v>16</v>
      </c>
      <c r="I170" s="4" t="s">
        <v>21</v>
      </c>
    </row>
    <row r="171" customFormat="false" ht="15" hidden="false" customHeight="false" outlineLevel="0" collapsed="false">
      <c r="A171" s="4" t="s">
        <v>79</v>
      </c>
      <c r="B171" s="4" t="s">
        <v>29</v>
      </c>
      <c r="C171" s="4" t="n">
        <v>1000</v>
      </c>
      <c r="D171" s="4" t="s">
        <v>22</v>
      </c>
      <c r="E171" s="4" t="s">
        <v>29</v>
      </c>
      <c r="F171" s="7" t="s">
        <v>30</v>
      </c>
      <c r="G171" s="6" t="n">
        <v>4</v>
      </c>
      <c r="H171" s="4" t="s">
        <v>24</v>
      </c>
      <c r="I171" s="4" t="s">
        <v>32</v>
      </c>
    </row>
    <row r="172" customFormat="false" ht="15" hidden="false" customHeight="false" outlineLevel="0" collapsed="false">
      <c r="A172" s="4" t="s">
        <v>80</v>
      </c>
      <c r="B172" s="4" t="s">
        <v>29</v>
      </c>
      <c r="C172" s="4" t="n">
        <v>400</v>
      </c>
      <c r="D172" s="4" t="s">
        <v>22</v>
      </c>
      <c r="E172" s="4" t="s">
        <v>29</v>
      </c>
      <c r="F172" s="7" t="s">
        <v>30</v>
      </c>
      <c r="G172" s="6" t="n">
        <v>9</v>
      </c>
      <c r="H172" s="4" t="s">
        <v>24</v>
      </c>
      <c r="I172" s="4" t="s">
        <v>31</v>
      </c>
    </row>
    <row r="173" customFormat="false" ht="15" hidden="false" customHeight="false" outlineLevel="0" collapsed="false">
      <c r="A173" s="4" t="s">
        <v>80</v>
      </c>
      <c r="B173" s="4" t="s">
        <v>33</v>
      </c>
      <c r="C173" s="4" t="n">
        <v>100</v>
      </c>
      <c r="D173" s="4" t="s">
        <v>22</v>
      </c>
      <c r="E173" s="4" t="s">
        <v>33</v>
      </c>
      <c r="F173" s="7" t="s">
        <v>30</v>
      </c>
      <c r="G173" s="6" t="n">
        <v>9</v>
      </c>
      <c r="H173" s="4" t="s">
        <v>24</v>
      </c>
      <c r="I173" s="4" t="s">
        <v>34</v>
      </c>
    </row>
    <row r="174" customFormat="false" ht="15" hidden="false" customHeight="false" outlineLevel="0" collapsed="false">
      <c r="A174" s="4" t="s">
        <v>80</v>
      </c>
      <c r="B174" s="4" t="s">
        <v>33</v>
      </c>
      <c r="C174" s="4" t="n">
        <v>500</v>
      </c>
      <c r="D174" s="4" t="s">
        <v>22</v>
      </c>
      <c r="E174" s="4" t="s">
        <v>33</v>
      </c>
      <c r="F174" s="7" t="s">
        <v>30</v>
      </c>
      <c r="G174" s="6" t="n">
        <v>9</v>
      </c>
      <c r="H174" s="4" t="s">
        <v>24</v>
      </c>
      <c r="I174" s="4" t="s">
        <v>31</v>
      </c>
    </row>
    <row r="175" customFormat="false" ht="15" hidden="false" customHeight="false" outlineLevel="0" collapsed="false">
      <c r="A175" s="4" t="s">
        <v>81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 t="s">
        <v>17</v>
      </c>
    </row>
    <row r="176" customFormat="false" ht="15" hidden="false" customHeight="false" outlineLevel="0" collapsed="false">
      <c r="A176" s="4" t="s">
        <v>81</v>
      </c>
      <c r="B176" s="4" t="s">
        <v>18</v>
      </c>
      <c r="C176" s="4" t="n">
        <v>250</v>
      </c>
      <c r="D176" s="4" t="s">
        <v>19</v>
      </c>
      <c r="E176" s="4" t="s">
        <v>20</v>
      </c>
      <c r="F176" s="5" t="s">
        <v>15</v>
      </c>
      <c r="G176" s="6" t="n">
        <v>18</v>
      </c>
      <c r="H176" s="4" t="s">
        <v>16</v>
      </c>
      <c r="I176" s="4" t="s">
        <v>21</v>
      </c>
    </row>
    <row r="177" customFormat="false" ht="15" hidden="false" customHeight="false" outlineLevel="0" collapsed="false">
      <c r="A177" s="4" t="s">
        <v>81</v>
      </c>
      <c r="B177" s="4" t="s">
        <v>18</v>
      </c>
      <c r="C177" s="4" t="n">
        <v>250</v>
      </c>
      <c r="D177" s="4" t="s">
        <v>22</v>
      </c>
      <c r="E177" s="4" t="s">
        <v>23</v>
      </c>
      <c r="F177" s="5" t="s">
        <v>15</v>
      </c>
      <c r="G177" s="6" t="n">
        <v>12</v>
      </c>
      <c r="H177" s="4" t="s">
        <v>24</v>
      </c>
      <c r="I177" s="4" t="s">
        <v>25</v>
      </c>
    </row>
    <row r="178" customFormat="false" ht="15" hidden="false" customHeight="false" outlineLevel="0" collapsed="false">
      <c r="A178" s="4" t="s">
        <v>81</v>
      </c>
      <c r="B178" s="4" t="s">
        <v>18</v>
      </c>
      <c r="C178" s="4" t="n">
        <v>250</v>
      </c>
      <c r="D178" s="4" t="s">
        <v>26</v>
      </c>
      <c r="E178" s="4" t="s">
        <v>27</v>
      </c>
      <c r="F178" s="5" t="s">
        <v>15</v>
      </c>
      <c r="G178" s="6" t="n">
        <v>18</v>
      </c>
      <c r="H178" s="4" t="s">
        <v>16</v>
      </c>
      <c r="I178" s="4" t="s">
        <v>21</v>
      </c>
    </row>
    <row r="179" customFormat="false" ht="15" hidden="false" customHeight="false" outlineLevel="0" collapsed="false">
      <c r="A179" s="4" t="s">
        <v>82</v>
      </c>
      <c r="B179" s="4" t="s">
        <v>29</v>
      </c>
      <c r="C179" s="4" t="n">
        <v>400</v>
      </c>
      <c r="D179" s="4" t="s">
        <v>22</v>
      </c>
      <c r="E179" s="4" t="s">
        <v>29</v>
      </c>
      <c r="F179" s="7" t="s">
        <v>30</v>
      </c>
      <c r="G179" s="6" t="n">
        <v>1</v>
      </c>
      <c r="H179" s="4" t="s">
        <v>24</v>
      </c>
      <c r="I179" s="4" t="s">
        <v>31</v>
      </c>
    </row>
    <row r="180" customFormat="false" ht="15" hidden="false" customHeight="false" outlineLevel="0" collapsed="false">
      <c r="A180" s="4" t="s">
        <v>82</v>
      </c>
      <c r="B180" s="4" t="s">
        <v>33</v>
      </c>
      <c r="C180" s="4" t="n">
        <v>500</v>
      </c>
      <c r="D180" s="4" t="s">
        <v>22</v>
      </c>
      <c r="E180" s="4" t="s">
        <v>33</v>
      </c>
      <c r="F180" s="7" t="s">
        <v>30</v>
      </c>
      <c r="G180" s="6" t="n">
        <v>10</v>
      </c>
      <c r="H180" s="4" t="s">
        <v>24</v>
      </c>
      <c r="I180" s="4" t="s">
        <v>31</v>
      </c>
    </row>
    <row r="181" customFormat="false" ht="15" hidden="false" customHeight="false" outlineLevel="0" collapsed="false">
      <c r="A181" s="4" t="s">
        <v>83</v>
      </c>
      <c r="B181" s="4" t="s">
        <v>29</v>
      </c>
      <c r="C181" s="4" t="n">
        <v>200</v>
      </c>
      <c r="D181" s="4" t="s">
        <v>22</v>
      </c>
      <c r="E181" s="4" t="s">
        <v>29</v>
      </c>
      <c r="F181" s="7" t="s">
        <v>30</v>
      </c>
      <c r="G181" s="6" t="n">
        <v>2</v>
      </c>
      <c r="H181" s="4" t="s">
        <v>24</v>
      </c>
      <c r="I181" s="8"/>
    </row>
    <row r="182" customFormat="false" ht="15" hidden="false" customHeight="false" outlineLevel="0" collapsed="false">
      <c r="A182" s="4" t="s">
        <v>83</v>
      </c>
      <c r="B182" s="4" t="s">
        <v>29</v>
      </c>
      <c r="C182" s="4" t="n">
        <v>400</v>
      </c>
      <c r="D182" s="4" t="s">
        <v>22</v>
      </c>
      <c r="E182" s="4" t="s">
        <v>29</v>
      </c>
      <c r="F182" s="7" t="s">
        <v>30</v>
      </c>
      <c r="G182" s="6" t="n">
        <v>11</v>
      </c>
      <c r="H182" s="4" t="s">
        <v>24</v>
      </c>
      <c r="I182" s="4" t="s">
        <v>31</v>
      </c>
    </row>
    <row r="183" customFormat="false" ht="15" hidden="false" customHeight="false" outlineLevel="0" collapsed="false">
      <c r="A183" s="4" t="s">
        <v>83</v>
      </c>
      <c r="B183" s="4" t="s">
        <v>29</v>
      </c>
      <c r="C183" s="4" t="n">
        <v>1000</v>
      </c>
      <c r="D183" s="4" t="s">
        <v>22</v>
      </c>
      <c r="E183" s="4" t="s">
        <v>29</v>
      </c>
      <c r="F183" s="7" t="s">
        <v>30</v>
      </c>
      <c r="G183" s="6" t="n">
        <v>4</v>
      </c>
      <c r="H183" s="4" t="s">
        <v>24</v>
      </c>
      <c r="I183" s="4" t="s">
        <v>32</v>
      </c>
    </row>
    <row r="184" customFormat="false" ht="15" hidden="false" customHeight="false" outlineLevel="0" collapsed="false">
      <c r="A184" s="4" t="s">
        <v>83</v>
      </c>
      <c r="B184" s="4" t="s">
        <v>33</v>
      </c>
      <c r="C184" s="4" t="n">
        <v>100</v>
      </c>
      <c r="D184" s="4" t="s">
        <v>22</v>
      </c>
      <c r="E184" s="4" t="s">
        <v>33</v>
      </c>
      <c r="F184" s="7" t="s">
        <v>30</v>
      </c>
      <c r="G184" s="6" t="n">
        <v>4</v>
      </c>
      <c r="H184" s="4" t="s">
        <v>24</v>
      </c>
      <c r="I184" s="4" t="s">
        <v>34</v>
      </c>
    </row>
    <row r="185" customFormat="false" ht="15" hidden="false" customHeight="false" outlineLevel="0" collapsed="false">
      <c r="A185" s="4" t="s">
        <v>83</v>
      </c>
      <c r="B185" s="4" t="s">
        <v>33</v>
      </c>
      <c r="C185" s="4" t="n">
        <v>500</v>
      </c>
      <c r="D185" s="4" t="s">
        <v>22</v>
      </c>
      <c r="E185" s="4" t="s">
        <v>33</v>
      </c>
      <c r="F185" s="7" t="s">
        <v>30</v>
      </c>
      <c r="G185" s="6" t="n">
        <v>24</v>
      </c>
      <c r="H185" s="4" t="s">
        <v>24</v>
      </c>
      <c r="I185" s="4" t="s">
        <v>31</v>
      </c>
    </row>
    <row r="186" customFormat="false" ht="15" hidden="false" customHeight="false" outlineLevel="0" collapsed="false">
      <c r="A186" s="4" t="s">
        <v>84</v>
      </c>
      <c r="B186" s="4" t="s">
        <v>29</v>
      </c>
      <c r="C186" s="4" t="n">
        <v>160</v>
      </c>
      <c r="D186" s="4" t="s">
        <v>22</v>
      </c>
      <c r="E186" s="4" t="s">
        <v>29</v>
      </c>
      <c r="F186" s="7" t="s">
        <v>30</v>
      </c>
      <c r="G186" s="6" t="n">
        <v>24</v>
      </c>
      <c r="H186" s="4" t="s">
        <v>24</v>
      </c>
      <c r="I186" s="8"/>
    </row>
    <row r="187" customFormat="false" ht="15" hidden="false" customHeight="false" outlineLevel="0" collapsed="false">
      <c r="A187" s="4" t="s">
        <v>84</v>
      </c>
      <c r="B187" s="4" t="s">
        <v>29</v>
      </c>
      <c r="C187" s="4" t="n">
        <v>400</v>
      </c>
      <c r="D187" s="4" t="s">
        <v>22</v>
      </c>
      <c r="E187" s="4" t="s">
        <v>29</v>
      </c>
      <c r="F187" s="7" t="s">
        <v>30</v>
      </c>
      <c r="G187" s="6" t="n">
        <v>24</v>
      </c>
      <c r="H187" s="4" t="s">
        <v>24</v>
      </c>
      <c r="I187" s="4" t="s">
        <v>31</v>
      </c>
    </row>
    <row r="188" customFormat="false" ht="15" hidden="false" customHeight="false" outlineLevel="0" collapsed="false">
      <c r="A188" s="4" t="s">
        <v>84</v>
      </c>
      <c r="B188" s="4" t="s">
        <v>29</v>
      </c>
      <c r="C188" s="4" t="n">
        <v>1000</v>
      </c>
      <c r="D188" s="4" t="s">
        <v>22</v>
      </c>
      <c r="E188" s="4" t="s">
        <v>29</v>
      </c>
      <c r="F188" s="7" t="s">
        <v>30</v>
      </c>
      <c r="G188" s="6" t="n">
        <v>20</v>
      </c>
      <c r="H188" s="4" t="s">
        <v>24</v>
      </c>
      <c r="I188" s="4" t="s">
        <v>32</v>
      </c>
    </row>
    <row r="189" customFormat="false" ht="15" hidden="false" customHeight="false" outlineLevel="0" collapsed="false">
      <c r="A189" s="4" t="s">
        <v>84</v>
      </c>
      <c r="B189" s="4" t="s">
        <v>33</v>
      </c>
      <c r="C189" s="4" t="n">
        <v>100</v>
      </c>
      <c r="D189" s="4" t="s">
        <v>22</v>
      </c>
      <c r="E189" s="4" t="s">
        <v>33</v>
      </c>
      <c r="F189" s="7" t="s">
        <v>30</v>
      </c>
      <c r="G189" s="6" t="n">
        <v>12</v>
      </c>
      <c r="H189" s="4" t="s">
        <v>24</v>
      </c>
      <c r="I189" s="4" t="s">
        <v>34</v>
      </c>
    </row>
    <row r="190" customFormat="false" ht="15" hidden="false" customHeight="false" outlineLevel="0" collapsed="false">
      <c r="A190" s="4" t="s">
        <v>84</v>
      </c>
      <c r="B190" s="4" t="s">
        <v>33</v>
      </c>
      <c r="C190" s="4" t="n">
        <v>500</v>
      </c>
      <c r="D190" s="4" t="s">
        <v>22</v>
      </c>
      <c r="E190" s="4" t="s">
        <v>33</v>
      </c>
      <c r="F190" s="7" t="s">
        <v>30</v>
      </c>
      <c r="G190" s="6" t="n">
        <v>40</v>
      </c>
      <c r="H190" s="4" t="s">
        <v>24</v>
      </c>
      <c r="I190" s="4" t="s">
        <v>31</v>
      </c>
    </row>
    <row r="191" customFormat="false" ht="15" hidden="false" customHeight="false" outlineLevel="0" collapsed="false">
      <c r="A191" s="4" t="s">
        <v>85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 t="s">
        <v>17</v>
      </c>
    </row>
    <row r="192" customFormat="false" ht="15" hidden="false" customHeight="false" outlineLevel="0" collapsed="false">
      <c r="A192" s="4" t="s">
        <v>85</v>
      </c>
      <c r="B192" s="4" t="s">
        <v>18</v>
      </c>
      <c r="C192" s="4" t="n">
        <v>250</v>
      </c>
      <c r="D192" s="4" t="s">
        <v>19</v>
      </c>
      <c r="E192" s="4" t="s">
        <v>20</v>
      </c>
      <c r="F192" s="5" t="s">
        <v>15</v>
      </c>
      <c r="G192" s="6" t="n">
        <v>18</v>
      </c>
      <c r="H192" s="4" t="s">
        <v>16</v>
      </c>
      <c r="I192" s="4" t="s">
        <v>21</v>
      </c>
    </row>
    <row r="193" customFormat="false" ht="15" hidden="false" customHeight="false" outlineLevel="0" collapsed="false">
      <c r="A193" s="4" t="s">
        <v>85</v>
      </c>
      <c r="B193" s="4" t="s">
        <v>18</v>
      </c>
      <c r="C193" s="4" t="n">
        <v>250</v>
      </c>
      <c r="D193" s="4" t="s">
        <v>22</v>
      </c>
      <c r="E193" s="4" t="s">
        <v>23</v>
      </c>
      <c r="F193" s="5" t="s">
        <v>15</v>
      </c>
      <c r="G193" s="6" t="n">
        <v>12</v>
      </c>
      <c r="H193" s="4" t="s">
        <v>24</v>
      </c>
      <c r="I193" s="4" t="s">
        <v>25</v>
      </c>
    </row>
    <row r="194" customFormat="false" ht="15" hidden="false" customHeight="false" outlineLevel="0" collapsed="false">
      <c r="A194" s="4" t="s">
        <v>85</v>
      </c>
      <c r="B194" s="4" t="s">
        <v>18</v>
      </c>
      <c r="C194" s="4" t="n">
        <v>250</v>
      </c>
      <c r="D194" s="4" t="s">
        <v>26</v>
      </c>
      <c r="E194" s="4" t="s">
        <v>27</v>
      </c>
      <c r="F194" s="5" t="s">
        <v>15</v>
      </c>
      <c r="G194" s="6" t="n">
        <v>18</v>
      </c>
      <c r="H194" s="4" t="s">
        <v>16</v>
      </c>
      <c r="I194" s="4" t="s">
        <v>21</v>
      </c>
    </row>
    <row r="195" customFormat="false" ht="15" hidden="false" customHeight="false" outlineLevel="0" collapsed="false">
      <c r="A195" s="4" t="s">
        <v>86</v>
      </c>
      <c r="B195" s="4" t="s">
        <v>29</v>
      </c>
      <c r="C195" s="4" t="n">
        <v>400</v>
      </c>
      <c r="D195" s="4" t="s">
        <v>22</v>
      </c>
      <c r="E195" s="4" t="s">
        <v>29</v>
      </c>
      <c r="F195" s="7" t="s">
        <v>30</v>
      </c>
      <c r="G195" s="6" t="n">
        <v>101</v>
      </c>
      <c r="H195" s="4" t="s">
        <v>24</v>
      </c>
      <c r="I195" s="4" t="s">
        <v>31</v>
      </c>
    </row>
    <row r="196" customFormat="false" ht="15" hidden="false" customHeight="false" outlineLevel="0" collapsed="false">
      <c r="A196" s="4" t="s">
        <v>86</v>
      </c>
      <c r="B196" s="4" t="s">
        <v>33</v>
      </c>
      <c r="C196" s="4" t="n">
        <v>500</v>
      </c>
      <c r="D196" s="4" t="s">
        <v>22</v>
      </c>
      <c r="E196" s="4" t="s">
        <v>33</v>
      </c>
      <c r="F196" s="7" t="s">
        <v>30</v>
      </c>
      <c r="G196" s="6" t="n">
        <v>10</v>
      </c>
      <c r="H196" s="4" t="s">
        <v>24</v>
      </c>
      <c r="I196" s="4" t="s">
        <v>31</v>
      </c>
    </row>
    <row r="197" customFormat="false" ht="15" hidden="false" customHeight="false" outlineLevel="0" collapsed="false">
      <c r="A197" s="4" t="s">
        <v>87</v>
      </c>
      <c r="B197" s="4" t="s">
        <v>29</v>
      </c>
      <c r="C197" s="4" t="n">
        <v>400</v>
      </c>
      <c r="D197" s="4" t="s">
        <v>22</v>
      </c>
      <c r="E197" s="4" t="s">
        <v>29</v>
      </c>
      <c r="F197" s="7" t="s">
        <v>30</v>
      </c>
      <c r="G197" s="6" t="n">
        <v>2</v>
      </c>
      <c r="H197" s="4" t="s">
        <v>24</v>
      </c>
      <c r="I197" s="4" t="s">
        <v>31</v>
      </c>
    </row>
    <row r="198" customFormat="false" ht="15" hidden="false" customHeight="false" outlineLevel="0" collapsed="false">
      <c r="A198" s="4" t="s">
        <v>87</v>
      </c>
      <c r="B198" s="4" t="s">
        <v>33</v>
      </c>
      <c r="C198" s="4" t="n">
        <v>100</v>
      </c>
      <c r="D198" s="4" t="s">
        <v>22</v>
      </c>
      <c r="E198" s="4" t="s">
        <v>33</v>
      </c>
      <c r="F198" s="7" t="s">
        <v>30</v>
      </c>
      <c r="G198" s="6" t="n">
        <v>2</v>
      </c>
      <c r="H198" s="4" t="s">
        <v>24</v>
      </c>
      <c r="I198" s="4" t="s">
        <v>34</v>
      </c>
    </row>
    <row r="199" customFormat="false" ht="15" hidden="false" customHeight="false" outlineLevel="0" collapsed="false">
      <c r="A199" s="4" t="s">
        <v>88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 t="s">
        <v>17</v>
      </c>
    </row>
    <row r="200" customFormat="false" ht="15" hidden="false" customHeight="false" outlineLevel="0" collapsed="false">
      <c r="A200" s="4" t="s">
        <v>88</v>
      </c>
      <c r="B200" s="4" t="s">
        <v>18</v>
      </c>
      <c r="C200" s="4" t="n">
        <v>250</v>
      </c>
      <c r="D200" s="4" t="s">
        <v>19</v>
      </c>
      <c r="E200" s="4" t="s">
        <v>20</v>
      </c>
      <c r="F200" s="5" t="s">
        <v>15</v>
      </c>
      <c r="G200" s="6" t="n">
        <v>18</v>
      </c>
      <c r="H200" s="4" t="s">
        <v>16</v>
      </c>
      <c r="I200" s="4" t="s">
        <v>21</v>
      </c>
    </row>
    <row r="201" customFormat="false" ht="15" hidden="false" customHeight="false" outlineLevel="0" collapsed="false">
      <c r="A201" s="4" t="s">
        <v>88</v>
      </c>
      <c r="B201" s="4" t="s">
        <v>18</v>
      </c>
      <c r="C201" s="4" t="n">
        <v>250</v>
      </c>
      <c r="D201" s="4" t="s">
        <v>22</v>
      </c>
      <c r="E201" s="4" t="s">
        <v>23</v>
      </c>
      <c r="F201" s="5" t="s">
        <v>15</v>
      </c>
      <c r="G201" s="6" t="n">
        <v>12</v>
      </c>
      <c r="H201" s="4" t="s">
        <v>24</v>
      </c>
      <c r="I201" s="4" t="s">
        <v>25</v>
      </c>
    </row>
    <row r="202" customFormat="false" ht="15" hidden="false" customHeight="false" outlineLevel="0" collapsed="false">
      <c r="A202" s="4" t="s">
        <v>88</v>
      </c>
      <c r="B202" s="4" t="s">
        <v>18</v>
      </c>
      <c r="C202" s="4" t="n">
        <v>250</v>
      </c>
      <c r="D202" s="4" t="s">
        <v>26</v>
      </c>
      <c r="E202" s="4" t="s">
        <v>27</v>
      </c>
      <c r="F202" s="5" t="s">
        <v>15</v>
      </c>
      <c r="G202" s="6" t="n">
        <v>18</v>
      </c>
      <c r="H202" s="4" t="s">
        <v>16</v>
      </c>
      <c r="I202" s="4" t="s">
        <v>21</v>
      </c>
    </row>
    <row r="203" customFormat="false" ht="15" hidden="false" customHeight="false" outlineLevel="0" collapsed="false">
      <c r="A203" s="4" t="s">
        <v>89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 t="s">
        <v>17</v>
      </c>
    </row>
    <row r="204" customFormat="false" ht="15" hidden="false" customHeight="false" outlineLevel="0" collapsed="false">
      <c r="A204" s="4" t="s">
        <v>89</v>
      </c>
      <c r="B204" s="4" t="s">
        <v>18</v>
      </c>
      <c r="C204" s="4" t="n">
        <v>250</v>
      </c>
      <c r="D204" s="4" t="s">
        <v>19</v>
      </c>
      <c r="E204" s="4" t="s">
        <v>20</v>
      </c>
      <c r="F204" s="5" t="s">
        <v>15</v>
      </c>
      <c r="G204" s="6" t="n">
        <v>18</v>
      </c>
      <c r="H204" s="4" t="s">
        <v>16</v>
      </c>
      <c r="I204" s="4" t="s">
        <v>21</v>
      </c>
    </row>
    <row r="205" customFormat="false" ht="15" hidden="false" customHeight="false" outlineLevel="0" collapsed="false">
      <c r="A205" s="4" t="s">
        <v>89</v>
      </c>
      <c r="B205" s="4" t="s">
        <v>18</v>
      </c>
      <c r="C205" s="4" t="n">
        <v>250</v>
      </c>
      <c r="D205" s="4" t="s">
        <v>22</v>
      </c>
      <c r="E205" s="4" t="s">
        <v>23</v>
      </c>
      <c r="F205" s="5" t="s">
        <v>15</v>
      </c>
      <c r="G205" s="6" t="n">
        <v>12</v>
      </c>
      <c r="H205" s="4" t="s">
        <v>24</v>
      </c>
      <c r="I205" s="4" t="s">
        <v>25</v>
      </c>
    </row>
    <row r="206" customFormat="false" ht="15" hidden="false" customHeight="false" outlineLevel="0" collapsed="false">
      <c r="A206" s="4" t="s">
        <v>89</v>
      </c>
      <c r="B206" s="4" t="s">
        <v>18</v>
      </c>
      <c r="C206" s="4" t="n">
        <v>250</v>
      </c>
      <c r="D206" s="4" t="s">
        <v>26</v>
      </c>
      <c r="E206" s="4" t="s">
        <v>27</v>
      </c>
      <c r="F206" s="5" t="s">
        <v>15</v>
      </c>
      <c r="G206" s="6" t="n">
        <v>18</v>
      </c>
      <c r="H206" s="4" t="s">
        <v>16</v>
      </c>
      <c r="I206" s="4" t="s">
        <v>21</v>
      </c>
    </row>
    <row r="207" customFormat="false" ht="15" hidden="false" customHeight="false" outlineLevel="0" collapsed="false">
      <c r="A207" s="4" t="s">
        <v>90</v>
      </c>
      <c r="B207" s="4" t="s">
        <v>29</v>
      </c>
      <c r="C207" s="4" t="n">
        <v>400</v>
      </c>
      <c r="D207" s="4" t="s">
        <v>22</v>
      </c>
      <c r="E207" s="4" t="s">
        <v>29</v>
      </c>
      <c r="F207" s="7" t="s">
        <v>30</v>
      </c>
      <c r="G207" s="6" t="n">
        <v>63</v>
      </c>
      <c r="H207" s="4" t="s">
        <v>24</v>
      </c>
      <c r="I207" s="4" t="s">
        <v>31</v>
      </c>
    </row>
    <row r="208" customFormat="false" ht="15" hidden="false" customHeight="false" outlineLevel="0" collapsed="false">
      <c r="A208" s="4" t="s">
        <v>90</v>
      </c>
      <c r="B208" s="4" t="s">
        <v>33</v>
      </c>
      <c r="C208" s="4" t="n">
        <v>100</v>
      </c>
      <c r="D208" s="4" t="s">
        <v>22</v>
      </c>
      <c r="E208" s="4" t="s">
        <v>33</v>
      </c>
      <c r="F208" s="7" t="s">
        <v>30</v>
      </c>
      <c r="G208" s="6" t="n">
        <v>48</v>
      </c>
      <c r="H208" s="4" t="s">
        <v>24</v>
      </c>
      <c r="I208" s="4" t="s">
        <v>34</v>
      </c>
    </row>
    <row r="209" customFormat="false" ht="15" hidden="false" customHeight="false" outlineLevel="0" collapsed="false">
      <c r="A209" s="4" t="s">
        <v>91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 t="s">
        <v>17</v>
      </c>
    </row>
    <row r="210" customFormat="false" ht="15" hidden="false" customHeight="false" outlineLevel="0" collapsed="false">
      <c r="A210" s="4" t="s">
        <v>91</v>
      </c>
      <c r="B210" s="4" t="s">
        <v>18</v>
      </c>
      <c r="C210" s="4" t="n">
        <v>250</v>
      </c>
      <c r="D210" s="4" t="s">
        <v>19</v>
      </c>
      <c r="E210" s="4" t="s">
        <v>20</v>
      </c>
      <c r="F210" s="5" t="s">
        <v>15</v>
      </c>
      <c r="G210" s="6" t="n">
        <v>18</v>
      </c>
      <c r="H210" s="4" t="s">
        <v>16</v>
      </c>
      <c r="I210" s="4" t="s">
        <v>21</v>
      </c>
    </row>
    <row r="211" customFormat="false" ht="15" hidden="false" customHeight="false" outlineLevel="0" collapsed="false">
      <c r="A211" s="4" t="s">
        <v>91</v>
      </c>
      <c r="B211" s="4" t="s">
        <v>18</v>
      </c>
      <c r="C211" s="4" t="n">
        <v>250</v>
      </c>
      <c r="D211" s="4" t="s">
        <v>22</v>
      </c>
      <c r="E211" s="4" t="s">
        <v>23</v>
      </c>
      <c r="F211" s="5" t="s">
        <v>15</v>
      </c>
      <c r="G211" s="6" t="n">
        <v>12</v>
      </c>
      <c r="H211" s="4" t="s">
        <v>24</v>
      </c>
      <c r="I211" s="4" t="s">
        <v>25</v>
      </c>
    </row>
    <row r="212" customFormat="false" ht="15" hidden="false" customHeight="false" outlineLevel="0" collapsed="false">
      <c r="A212" s="4" t="s">
        <v>91</v>
      </c>
      <c r="B212" s="4" t="s">
        <v>18</v>
      </c>
      <c r="C212" s="4" t="n">
        <v>250</v>
      </c>
      <c r="D212" s="4" t="s">
        <v>26</v>
      </c>
      <c r="E212" s="4" t="s">
        <v>27</v>
      </c>
      <c r="F212" s="5" t="s">
        <v>15</v>
      </c>
      <c r="G212" s="6" t="n">
        <v>18</v>
      </c>
      <c r="H212" s="4" t="s">
        <v>16</v>
      </c>
      <c r="I212" s="4" t="s">
        <v>21</v>
      </c>
    </row>
    <row r="214" customFormat="false" ht="15" hidden="false" customHeight="false" outlineLevel="0" collapsed="false">
      <c r="F214" s="9" t="s">
        <v>92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93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94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8"/>
    <col collapsed="false" customWidth="true" hidden="false" outlineLevel="0" max="5" min="4" style="0" width="11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3" min="12" style="0" width="13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11" t="s">
        <v>97</v>
      </c>
      <c r="B4" s="12" t="n">
        <v>46027</v>
      </c>
    </row>
    <row r="5" customFormat="false" ht="15" hidden="false" customHeight="false" outlineLevel="0" collapsed="false">
      <c r="A5" s="11" t="s">
        <v>98</v>
      </c>
      <c r="B5" s="12" t="n">
        <v>46302</v>
      </c>
    </row>
    <row r="6" customFormat="false" ht="15" hidden="false" customHeight="false" outlineLevel="0" collapsed="false">
      <c r="A6" s="11" t="s">
        <v>99</v>
      </c>
      <c r="B6" s="13" t="n">
        <f aca="false">(B5-B4+1)/30.4375</f>
        <v>9.06776180698152</v>
      </c>
    </row>
    <row r="7" customFormat="false" ht="15" hidden="false" customHeight="false" outlineLevel="0" collapsed="false">
      <c r="A7" s="11" t="s">
        <v>100</v>
      </c>
      <c r="B7" s="14" t="n">
        <v>12</v>
      </c>
      <c r="C7" s="2" t="s">
        <v>101</v>
      </c>
    </row>
    <row r="9" customFormat="false" ht="15" hidden="false" customHeight="false" outlineLevel="0" collapsed="false">
      <c r="A9" s="15" t="s">
        <v>102</v>
      </c>
    </row>
    <row r="10" customFormat="false" ht="39.75" hidden="false" customHeight="true" outlineLevel="0" collapsed="false">
      <c r="A10" s="3" t="s">
        <v>103</v>
      </c>
      <c r="B10" s="3" t="s">
        <v>10</v>
      </c>
      <c r="C10" s="3" t="s">
        <v>104</v>
      </c>
      <c r="D10" s="3" t="s">
        <v>105</v>
      </c>
      <c r="E10" s="3" t="s">
        <v>106</v>
      </c>
      <c r="F10" s="3" t="s">
        <v>107</v>
      </c>
      <c r="G10" s="3" t="s">
        <v>108</v>
      </c>
      <c r="H10" s="3" t="s">
        <v>109</v>
      </c>
    </row>
    <row r="11" customFormat="false" ht="15" hidden="false" customHeight="false" outlineLevel="0" collapsed="false">
      <c r="A11" s="16" t="s">
        <v>16</v>
      </c>
      <c r="B11" s="16" t="s">
        <v>21</v>
      </c>
      <c r="C11" s="17" t="n">
        <f aca="false">COUNTIFS($F$23:$F$210,$A11,$G$23:$G$210,$B11)</f>
        <v>17</v>
      </c>
      <c r="D11" s="16" t="n">
        <f aca="false">SUMIFS($I$23:$I$210,$F$23:$F$210,$A11,$G$23:$G$210,$B11)</f>
        <v>472</v>
      </c>
      <c r="E11" s="16" t="n">
        <f aca="false">SUMIFS($J$23:$J$210,$F$23:$F$210,$A11,$G$23:$G$210,$B11)</f>
        <v>0</v>
      </c>
      <c r="F11" s="16" t="n">
        <f aca="false">SUMIFS($K$23:$K$210,$F$23:$F$210,$A11,$G$23:$G$210,$B11)</f>
        <v>0</v>
      </c>
      <c r="G11" s="16" t="n">
        <f aca="false">SUMIFS($L$23:$L$210,$F$23:$F$210,$A11,$G$23:$G$210,$B11)</f>
        <v>0</v>
      </c>
      <c r="H11" s="17" t="n">
        <f aca="false">SUMIFS($M$23:$M$210,$F$23:$F$210,$A11,$G$23:$G$210,$B11)</f>
        <v>472</v>
      </c>
    </row>
    <row r="12" customFormat="false" ht="15" hidden="false" customHeight="false" outlineLevel="0" collapsed="false">
      <c r="A12" s="16" t="s">
        <v>16</v>
      </c>
      <c r="B12" s="16" t="s">
        <v>17</v>
      </c>
      <c r="C12" s="17" t="n">
        <f aca="false">COUNTIFS($F$23:$F$210,$A12,$G$23:$G$210,$B12)</f>
        <v>24</v>
      </c>
      <c r="D12" s="16" t="n">
        <f aca="false">SUMIFS($I$23:$I$210,$F$23:$F$210,$A12,$G$23:$G$210,$B12)</f>
        <v>3400</v>
      </c>
      <c r="E12" s="16" t="n">
        <f aca="false">SUMIFS($J$23:$J$210,$F$23:$F$210,$A12,$G$23:$G$210,$B12)</f>
        <v>0</v>
      </c>
      <c r="F12" s="16" t="n">
        <f aca="false">SUMIFS($K$23:$K$210,$F$23:$F$210,$A12,$G$23:$G$210,$B12)</f>
        <v>0</v>
      </c>
      <c r="G12" s="16" t="n">
        <f aca="false">SUMIFS($L$23:$L$210,$F$23:$F$210,$A12,$G$23:$G$210,$B12)</f>
        <v>0</v>
      </c>
      <c r="H12" s="17" t="n">
        <f aca="false">SUMIFS($M$23:$M$210,$F$23:$F$210,$A12,$G$23:$G$210,$B12)</f>
        <v>3400</v>
      </c>
    </row>
    <row r="13" customFormat="false" ht="15" hidden="false" customHeight="false" outlineLevel="0" collapsed="false">
      <c r="A13" s="16" t="s">
        <v>24</v>
      </c>
      <c r="B13" s="16" t="s">
        <v>34</v>
      </c>
      <c r="C13" s="17" t="n">
        <f aca="false">COUNTIFS($F$23:$F$210,$A13,$G$23:$G$210,$B13)</f>
        <v>31</v>
      </c>
      <c r="D13" s="16" t="n">
        <f aca="false">SUMIFS($I$23:$I$210,$F$23:$F$210,$A13,$G$23:$G$210,$B13)</f>
        <v>360</v>
      </c>
      <c r="E13" s="16" t="n">
        <f aca="false">SUMIFS($J$23:$J$210,$F$23:$F$210,$A13,$G$23:$G$210,$B13)</f>
        <v>1307</v>
      </c>
      <c r="F13" s="16" t="n">
        <f aca="false">SUMIFS($K$23:$K$210,$F$23:$F$210,$A13,$G$23:$G$210,$B13)</f>
        <v>144.137001811594</v>
      </c>
      <c r="G13" s="16" t="n">
        <f aca="false">SUMIFS($L$23:$L$210,$F$23:$F$210,$A13,$G$23:$G$210,$B13)</f>
        <v>1740</v>
      </c>
      <c r="H13" s="17" t="n">
        <f aca="false">SUMIFS($M$23:$M$210,$F$23:$F$210,$A13,$G$23:$G$210,$B13)</f>
        <v>2100</v>
      </c>
    </row>
    <row r="14" customFormat="false" ht="15" hidden="false" customHeight="false" outlineLevel="0" collapsed="false">
      <c r="A14" s="16" t="s">
        <v>24</v>
      </c>
      <c r="B14" s="16" t="s">
        <v>25</v>
      </c>
      <c r="C14" s="17" t="n">
        <f aca="false">COUNTIFS($F$23:$F$210,$A14,$G$23:$G$210,$B14)</f>
        <v>28</v>
      </c>
      <c r="D14" s="16" t="n">
        <f aca="false">SUMIFS($I$23:$I$210,$F$23:$F$210,$A14,$G$23:$G$210,$B14)</f>
        <v>134</v>
      </c>
      <c r="E14" s="16" t="n">
        <f aca="false">SUMIFS($J$23:$J$210,$F$23:$F$210,$A14,$G$23:$G$210,$B14)</f>
        <v>597</v>
      </c>
      <c r="F14" s="16" t="n">
        <f aca="false">SUMIFS($K$23:$K$210,$F$23:$F$210,$A14,$G$23:$G$210,$B14)</f>
        <v>65.8376358695652</v>
      </c>
      <c r="G14" s="16" t="n">
        <f aca="false">SUMIFS($L$23:$L$210,$F$23:$F$210,$A14,$G$23:$G$210,$B14)</f>
        <v>796</v>
      </c>
      <c r="H14" s="17" t="n">
        <f aca="false">SUMIFS($M$23:$M$210,$F$23:$F$210,$A14,$G$23:$G$210,$B14)</f>
        <v>930</v>
      </c>
    </row>
    <row r="15" customFormat="false" ht="15" hidden="false" customHeight="false" outlineLevel="0" collapsed="false">
      <c r="A15" s="16" t="s">
        <v>24</v>
      </c>
      <c r="B15" s="16" t="s">
        <v>31</v>
      </c>
      <c r="C15" s="17" t="n">
        <f aca="false">COUNTIFS($F$23:$F$210,$A15,$G$23:$G$210,$B15)</f>
        <v>60</v>
      </c>
      <c r="D15" s="16" t="n">
        <f aca="false">SUMIFS($I$23:$I$210,$F$23:$F$210,$A15,$G$23:$G$210,$B15)</f>
        <v>70</v>
      </c>
      <c r="E15" s="16" t="n">
        <f aca="false">SUMIFS($J$23:$J$210,$F$23:$F$210,$A15,$G$23:$G$210,$B15)</f>
        <v>1654</v>
      </c>
      <c r="F15" s="16" t="n">
        <f aca="false">SUMIFS($K$23:$K$210,$F$23:$F$210,$A15,$G$23:$G$210,$B15)</f>
        <v>182.404438405797</v>
      </c>
      <c r="G15" s="16" t="n">
        <f aca="false">SUMIFS($L$23:$L$210,$F$23:$F$210,$A15,$G$23:$G$210,$B15)</f>
        <v>2210</v>
      </c>
      <c r="H15" s="17" t="n">
        <f aca="false">SUMIFS($M$23:$M$210,$F$23:$F$210,$A15,$G$23:$G$210,$B15)</f>
        <v>2280</v>
      </c>
    </row>
    <row r="16" customFormat="false" ht="15" hidden="false" customHeight="false" outlineLevel="0" collapsed="false">
      <c r="A16" s="16" t="s">
        <v>24</v>
      </c>
      <c r="B16" s="16" t="s">
        <v>32</v>
      </c>
      <c r="C16" s="17" t="n">
        <f aca="false">COUNTIFS($F$23:$F$210,$A16,$G$23:$G$210,$B16)</f>
        <v>18</v>
      </c>
      <c r="D16" s="16" t="n">
        <f aca="false">SUMIFS($I$23:$I$210,$F$23:$F$210,$A16,$G$23:$G$210,$B16)</f>
        <v>0</v>
      </c>
      <c r="E16" s="16" t="n">
        <f aca="false">SUMIFS($J$23:$J$210,$F$23:$F$210,$A16,$G$23:$G$210,$B16)</f>
        <v>197</v>
      </c>
      <c r="F16" s="16" t="n">
        <f aca="false">SUMIFS($K$23:$K$210,$F$23:$F$210,$A16,$G$23:$G$210,$B16)</f>
        <v>21.7253170289855</v>
      </c>
      <c r="G16" s="16" t="n">
        <f aca="false">SUMIFS($L$23:$L$210,$F$23:$F$210,$A16,$G$23:$G$210,$B16)</f>
        <v>267</v>
      </c>
      <c r="H16" s="17" t="n">
        <f aca="false">SUMIFS($M$23:$M$210,$F$23:$F$210,$A16,$G$23:$G$210,$B16)</f>
        <v>267</v>
      </c>
    </row>
    <row r="17" customFormat="false" ht="15" hidden="false" customHeight="false" outlineLevel="0" collapsed="false">
      <c r="A17" s="16" t="s">
        <v>24</v>
      </c>
      <c r="B17" s="16" t="s">
        <v>110</v>
      </c>
      <c r="C17" s="17" t="n">
        <f aca="false">COUNTIFS($F$23:$F$210,$A17,$G$23:$G$210,$B17)</f>
        <v>10</v>
      </c>
      <c r="D17" s="16" t="n">
        <f aca="false">SUMIFS($I$23:$I$210,$F$23:$F$210,$A17,$G$23:$G$210,$B17)</f>
        <v>0</v>
      </c>
      <c r="E17" s="16" t="n">
        <f aca="false">SUMIFS($J$23:$J$210,$F$23:$F$210,$A17,$G$23:$G$210,$B17)</f>
        <v>141</v>
      </c>
      <c r="F17" s="16" t="n">
        <f aca="false">SUMIFS($K$23:$K$210,$F$23:$F$210,$A17,$G$23:$G$210,$B17)</f>
        <v>15.5495923913044</v>
      </c>
      <c r="G17" s="16" t="n">
        <f aca="false">SUMIFS($L$23:$L$210,$F$23:$F$210,$A17,$G$23:$G$210,$B17)</f>
        <v>191</v>
      </c>
      <c r="H17" s="17" t="n">
        <f aca="false">SUMIFS($M$23:$M$210,$F$23:$F$210,$A17,$G$23:$G$210,$B17)</f>
        <v>191</v>
      </c>
    </row>
    <row r="18" customFormat="false" ht="15" hidden="false" customHeight="false" outlineLevel="0" collapsed="false">
      <c r="A18" s="17" t="s">
        <v>111</v>
      </c>
      <c r="B18" s="17"/>
      <c r="C18" s="17" t="n">
        <f aca="false">SUM(C11:C17)</f>
        <v>188</v>
      </c>
      <c r="D18" s="17" t="n">
        <f aca="false">SUM(D11:D17)</f>
        <v>4436</v>
      </c>
      <c r="E18" s="17" t="n">
        <f aca="false">SUM(E11:E17)</f>
        <v>3896</v>
      </c>
      <c r="F18" s="17" t="n">
        <f aca="false">SUM(F11:F17)</f>
        <v>429.653985507246</v>
      </c>
      <c r="G18" s="17" t="n">
        <f aca="false">SUM(G11:G17)</f>
        <v>5204</v>
      </c>
      <c r="H18" s="17" t="n">
        <f aca="false">SUM(H11:H17)</f>
        <v>9640</v>
      </c>
    </row>
    <row r="21" customFormat="false" ht="15" hidden="false" customHeight="false" outlineLevel="0" collapsed="false">
      <c r="A21" s="15" t="s">
        <v>112</v>
      </c>
    </row>
    <row r="22" customFormat="false" ht="39.75" hidden="false" customHeight="true" outlineLevel="0" collapsed="false">
      <c r="A22" s="3" t="s">
        <v>113</v>
      </c>
      <c r="B22" s="3" t="s">
        <v>2</v>
      </c>
      <c r="C22" s="3" t="s">
        <v>3</v>
      </c>
      <c r="D22" s="3" t="s">
        <v>4</v>
      </c>
      <c r="E22" s="3" t="s">
        <v>114</v>
      </c>
      <c r="F22" s="3" t="s">
        <v>103</v>
      </c>
      <c r="G22" s="3" t="s">
        <v>10</v>
      </c>
      <c r="H22" s="3" t="s">
        <v>115</v>
      </c>
      <c r="I22" s="3" t="s">
        <v>105</v>
      </c>
      <c r="J22" s="3" t="s">
        <v>106</v>
      </c>
      <c r="K22" s="3" t="s">
        <v>107</v>
      </c>
      <c r="L22" s="3" t="s">
        <v>108</v>
      </c>
      <c r="M22" s="3" t="s">
        <v>109</v>
      </c>
    </row>
    <row r="23" customFormat="false" ht="15" hidden="false" customHeight="false" outlineLevel="0" collapsed="false">
      <c r="A23" s="4" t="s">
        <v>116</v>
      </c>
      <c r="B23" s="4" t="s">
        <v>11</v>
      </c>
      <c r="C23" s="4" t="s">
        <v>18</v>
      </c>
      <c r="D23" s="4" t="n">
        <v>250</v>
      </c>
      <c r="E23" s="4" t="s">
        <v>15</v>
      </c>
      <c r="F23" s="4" t="s">
        <v>16</v>
      </c>
      <c r="G23" s="4" t="s">
        <v>21</v>
      </c>
      <c r="H23" s="4" t="s">
        <v>117</v>
      </c>
      <c r="I23" s="16" t="n">
        <f aca="false">SUMIFS('Por Fragrância'!$H$5:$H$192,'Por Fragrância'!$A$5:$A$192,$B23,'Por Fragrância'!$B$5:$B$192,$C23,'Por Fragrância'!$C$5:$C$192,$D23,'Por Fragrância'!$D$5:$D$192,$F23,'Por Fragrância'!$E$5:$E$192,$G23)</f>
        <v>36</v>
      </c>
      <c r="J23" s="16" t="n">
        <f aca="false">SUMIFS('Por Fragrância'!$I$5:$I$192,'Por Fragrância'!$A$5:$A$192,$B23,'Por Fragrância'!$B$5:$B$192,$C23,'Por Fragrância'!$C$5:$C$192,$D23,'Por Fragrância'!$D$5:$D$192,$F23,'Por Fragrância'!$E$5:$E$192,$G23)</f>
        <v>0</v>
      </c>
      <c r="K23" s="18" t="n">
        <f aca="false">IF($B$6=0,0,J23/$B$6)</f>
        <v>0</v>
      </c>
      <c r="L23" s="16" t="n">
        <f aca="false">ROUNDUP(K23*$B$7,0)</f>
        <v>0</v>
      </c>
      <c r="M23" s="17" t="n">
        <f aca="false">I23+L23</f>
        <v>36</v>
      </c>
    </row>
    <row r="24" customFormat="false" ht="15" hidden="false" customHeight="false" outlineLevel="0" collapsed="false">
      <c r="A24" s="4" t="s">
        <v>118</v>
      </c>
      <c r="B24" s="4" t="s">
        <v>28</v>
      </c>
      <c r="C24" s="4" t="s">
        <v>18</v>
      </c>
      <c r="D24" s="4" t="n">
        <v>250</v>
      </c>
      <c r="E24" s="4" t="s">
        <v>15</v>
      </c>
      <c r="F24" s="4" t="s">
        <v>16</v>
      </c>
      <c r="G24" s="4" t="s">
        <v>21</v>
      </c>
      <c r="H24" s="4" t="s">
        <v>117</v>
      </c>
      <c r="I24" s="16" t="n">
        <f aca="false">SUMIFS('Por Fragrância'!$H$5:$H$192,'Por Fragrância'!$A$5:$A$192,$B24,'Por Fragrância'!$B$5:$B$192,$C24,'Por Fragrância'!$C$5:$C$192,$D24,'Por Fragrância'!$D$5:$D$192,$F24,'Por Fragrância'!$E$5:$E$192,$G24)</f>
        <v>16</v>
      </c>
      <c r="J24" s="16" t="n">
        <f aca="false">SUMIFS('Por Fragrância'!$I$5:$I$192,'Por Fragrância'!$A$5:$A$192,$B24,'Por Fragrância'!$B$5:$B$192,$C24,'Por Fragrância'!$C$5:$C$192,$D24,'Por Fragrância'!$D$5:$D$192,$F24,'Por Fragrância'!$E$5:$E$192,$G24)</f>
        <v>0</v>
      </c>
      <c r="K24" s="18" t="n">
        <f aca="false">IF($B$6=0,0,J24/$B$6)</f>
        <v>0</v>
      </c>
      <c r="L24" s="16" t="n">
        <f aca="false">ROUNDUP(K24*$B$7,0)</f>
        <v>0</v>
      </c>
      <c r="M24" s="17" t="n">
        <f aca="false">I24+L24</f>
        <v>16</v>
      </c>
    </row>
    <row r="25" customFormat="false" ht="15" hidden="false" customHeight="false" outlineLevel="0" collapsed="false">
      <c r="A25" s="4" t="s">
        <v>119</v>
      </c>
      <c r="B25" s="4" t="s">
        <v>38</v>
      </c>
      <c r="C25" s="4" t="s">
        <v>18</v>
      </c>
      <c r="D25" s="4" t="n">
        <v>250</v>
      </c>
      <c r="E25" s="4" t="s">
        <v>15</v>
      </c>
      <c r="F25" s="4" t="s">
        <v>16</v>
      </c>
      <c r="G25" s="4" t="s">
        <v>21</v>
      </c>
      <c r="H25" s="4" t="s">
        <v>117</v>
      </c>
      <c r="I25" s="16" t="n">
        <f aca="false">SUMIFS('Por Fragrância'!$H$5:$H$192,'Por Fragrância'!$A$5:$A$192,$B25,'Por Fragrância'!$B$5:$B$192,$C25,'Por Fragrância'!$C$5:$C$192,$D25,'Por Fragrância'!$D$5:$D$192,$F25,'Por Fragrância'!$E$5:$E$192,$G25)</f>
        <v>16</v>
      </c>
      <c r="J25" s="16" t="n">
        <f aca="false">SUMIFS('Por Fragrância'!$I$5:$I$192,'Por Fragrância'!$A$5:$A$192,$B25,'Por Fragrância'!$B$5:$B$192,$C25,'Por Fragrância'!$C$5:$C$192,$D25,'Por Fragrância'!$D$5:$D$192,$F25,'Por Fragrância'!$E$5:$E$192,$G25)</f>
        <v>0</v>
      </c>
      <c r="K25" s="18" t="n">
        <f aca="false">IF($B$6=0,0,J25/$B$6)</f>
        <v>0</v>
      </c>
      <c r="L25" s="16" t="n">
        <f aca="false">ROUNDUP(K25*$B$7,0)</f>
        <v>0</v>
      </c>
      <c r="M25" s="17" t="n">
        <f aca="false">I25+L25</f>
        <v>16</v>
      </c>
    </row>
    <row r="26" customFormat="false" ht="15" hidden="false" customHeight="false" outlineLevel="0" collapsed="false">
      <c r="A26" s="4" t="s">
        <v>120</v>
      </c>
      <c r="B26" s="4" t="s">
        <v>41</v>
      </c>
      <c r="C26" s="4" t="s">
        <v>18</v>
      </c>
      <c r="D26" s="4" t="n">
        <v>250</v>
      </c>
      <c r="E26" s="4" t="s">
        <v>15</v>
      </c>
      <c r="F26" s="4" t="s">
        <v>16</v>
      </c>
      <c r="G26" s="4" t="s">
        <v>21</v>
      </c>
      <c r="H26" s="4" t="s">
        <v>117</v>
      </c>
      <c r="I26" s="16" t="n">
        <f aca="false">SUMIFS('Por Fragrância'!$H$5:$H$192,'Por Fragrância'!$A$5:$A$192,$B26,'Por Fragrância'!$B$5:$B$192,$C26,'Por Fragrância'!$C$5:$C$192,$D26,'Por Fragrância'!$D$5:$D$192,$F26,'Por Fragrância'!$E$5:$E$192,$G26)</f>
        <v>16</v>
      </c>
      <c r="J26" s="16" t="n">
        <f aca="false">SUMIFS('Por Fragrância'!$I$5:$I$192,'Por Fragrância'!$A$5:$A$192,$B26,'Por Fragrância'!$B$5:$B$192,$C26,'Por Fragrância'!$C$5:$C$192,$D26,'Por Fragrância'!$D$5:$D$192,$F26,'Por Fragrância'!$E$5:$E$192,$G26)</f>
        <v>0</v>
      </c>
      <c r="K26" s="18" t="n">
        <f aca="false">IF($B$6=0,0,J26/$B$6)</f>
        <v>0</v>
      </c>
      <c r="L26" s="16" t="n">
        <f aca="false">ROUNDUP(K26*$B$7,0)</f>
        <v>0</v>
      </c>
      <c r="M26" s="17" t="n">
        <f aca="false">I26+L26</f>
        <v>16</v>
      </c>
    </row>
    <row r="27" customFormat="false" ht="15" hidden="false" customHeight="false" outlineLevel="0" collapsed="false">
      <c r="A27" s="4" t="s">
        <v>121</v>
      </c>
      <c r="B27" s="4" t="s">
        <v>43</v>
      </c>
      <c r="C27" s="4" t="s">
        <v>18</v>
      </c>
      <c r="D27" s="4" t="n">
        <v>250</v>
      </c>
      <c r="E27" s="4" t="s">
        <v>15</v>
      </c>
      <c r="F27" s="4" t="s">
        <v>16</v>
      </c>
      <c r="G27" s="4" t="s">
        <v>21</v>
      </c>
      <c r="H27" s="4" t="s">
        <v>117</v>
      </c>
      <c r="I27" s="16" t="n">
        <f aca="false">SUMIFS('Por Fragrância'!$H$5:$H$192,'Por Fragrância'!$A$5:$A$192,$B27,'Por Fragrância'!$B$5:$B$192,$C27,'Por Fragrância'!$C$5:$C$192,$D27,'Por Fragrância'!$D$5:$D$192,$F27,'Por Fragrância'!$E$5:$E$192,$G27)</f>
        <v>16</v>
      </c>
      <c r="J27" s="16" t="n">
        <f aca="false">SUMIFS('Por Fragrância'!$I$5:$I$192,'Por Fragrância'!$A$5:$A$192,$B27,'Por Fragrância'!$B$5:$B$192,$C27,'Por Fragrância'!$C$5:$C$192,$D27,'Por Fragrância'!$D$5:$D$192,$F27,'Por Fragrância'!$E$5:$E$192,$G27)</f>
        <v>0</v>
      </c>
      <c r="K27" s="18" t="n">
        <f aca="false">IF($B$6=0,0,J27/$B$6)</f>
        <v>0</v>
      </c>
      <c r="L27" s="16" t="n">
        <f aca="false">ROUNDUP(K27*$B$7,0)</f>
        <v>0</v>
      </c>
      <c r="M27" s="17" t="n">
        <f aca="false">I27+L27</f>
        <v>16</v>
      </c>
    </row>
    <row r="28" customFormat="false" ht="15" hidden="false" customHeight="false" outlineLevel="0" collapsed="false">
      <c r="A28" s="4" t="s">
        <v>122</v>
      </c>
      <c r="B28" s="4" t="s">
        <v>47</v>
      </c>
      <c r="C28" s="4" t="s">
        <v>18</v>
      </c>
      <c r="D28" s="4" t="n">
        <v>250</v>
      </c>
      <c r="E28" s="4" t="s">
        <v>15</v>
      </c>
      <c r="F28" s="4" t="s">
        <v>16</v>
      </c>
      <c r="G28" s="4" t="s">
        <v>21</v>
      </c>
      <c r="H28" s="4" t="s">
        <v>117</v>
      </c>
      <c r="I28" s="16" t="n">
        <f aca="false">SUMIFS('Por Fragrância'!$H$5:$H$192,'Por Fragrância'!$A$5:$A$192,$B28,'Por Fragrância'!$B$5:$B$192,$C28,'Por Fragrância'!$C$5:$C$192,$D28,'Por Fragrância'!$D$5:$D$192,$F28,'Por Fragrância'!$E$5:$E$192,$G28)</f>
        <v>36</v>
      </c>
      <c r="J28" s="16" t="n">
        <f aca="false">SUMIFS('Por Fragrância'!$I$5:$I$192,'Por Fragrância'!$A$5:$A$192,$B28,'Por Fragrância'!$B$5:$B$192,$C28,'Por Fragrância'!$C$5:$C$192,$D28,'Por Fragrância'!$D$5:$D$192,$F28,'Por Fragrância'!$E$5:$E$192,$G28)</f>
        <v>0</v>
      </c>
      <c r="K28" s="18" t="n">
        <f aca="false">IF($B$6=0,0,J28/$B$6)</f>
        <v>0</v>
      </c>
      <c r="L28" s="16" t="n">
        <f aca="false">ROUNDUP(K28*$B$7,0)</f>
        <v>0</v>
      </c>
      <c r="M28" s="17" t="n">
        <f aca="false">I28+L28</f>
        <v>36</v>
      </c>
    </row>
    <row r="29" customFormat="false" ht="15" hidden="false" customHeight="false" outlineLevel="0" collapsed="false">
      <c r="A29" s="4" t="s">
        <v>123</v>
      </c>
      <c r="B29" s="4" t="s">
        <v>48</v>
      </c>
      <c r="C29" s="4" t="s">
        <v>18</v>
      </c>
      <c r="D29" s="4" t="n">
        <v>250</v>
      </c>
      <c r="E29" s="4" t="s">
        <v>15</v>
      </c>
      <c r="F29" s="4" t="s">
        <v>16</v>
      </c>
      <c r="G29" s="4" t="s">
        <v>21</v>
      </c>
      <c r="H29" s="4" t="s">
        <v>117</v>
      </c>
      <c r="I29" s="16" t="n">
        <f aca="false">SUMIFS('Por Fragrância'!$H$5:$H$192,'Por Fragrância'!$A$5:$A$192,$B29,'Por Fragrância'!$B$5:$B$192,$C29,'Por Fragrância'!$C$5:$C$192,$D29,'Por Fragrância'!$D$5:$D$192,$F29,'Por Fragrância'!$E$5:$E$192,$G29)</f>
        <v>16</v>
      </c>
      <c r="J29" s="16" t="n">
        <f aca="false">SUMIFS('Por Fragrância'!$I$5:$I$192,'Por Fragrância'!$A$5:$A$192,$B29,'Por Fragrância'!$B$5:$B$192,$C29,'Por Fragrância'!$C$5:$C$192,$D29,'Por Fragrância'!$D$5:$D$192,$F29,'Por Fragrância'!$E$5:$E$192,$G29)</f>
        <v>0</v>
      </c>
      <c r="K29" s="18" t="n">
        <f aca="false">IF($B$6=0,0,J29/$B$6)</f>
        <v>0</v>
      </c>
      <c r="L29" s="16" t="n">
        <f aca="false">ROUNDUP(K29*$B$7,0)</f>
        <v>0</v>
      </c>
      <c r="M29" s="17" t="n">
        <f aca="false">I29+L29</f>
        <v>16</v>
      </c>
    </row>
    <row r="30" customFormat="false" ht="15" hidden="false" customHeight="false" outlineLevel="0" collapsed="false">
      <c r="A30" s="4" t="s">
        <v>124</v>
      </c>
      <c r="B30" s="4" t="s">
        <v>53</v>
      </c>
      <c r="C30" s="4" t="s">
        <v>18</v>
      </c>
      <c r="D30" s="4" t="n">
        <v>250</v>
      </c>
      <c r="E30" s="4" t="s">
        <v>15</v>
      </c>
      <c r="F30" s="4" t="s">
        <v>16</v>
      </c>
      <c r="G30" s="4" t="s">
        <v>21</v>
      </c>
      <c r="H30" s="4" t="s">
        <v>117</v>
      </c>
      <c r="I30" s="16" t="n">
        <f aca="false">SUMIFS('Por Fragrância'!$H$5:$H$192,'Por Fragrância'!$A$5:$A$192,$B30,'Por Fragrância'!$B$5:$B$192,$C30,'Por Fragrância'!$C$5:$C$192,$D30,'Por Fragrância'!$D$5:$D$192,$F30,'Por Fragrância'!$E$5:$E$192,$G30)</f>
        <v>36</v>
      </c>
      <c r="J30" s="16" t="n">
        <f aca="false">SUMIFS('Por Fragrância'!$I$5:$I$192,'Por Fragrância'!$A$5:$A$192,$B30,'Por Fragrância'!$B$5:$B$192,$C30,'Por Fragrância'!$C$5:$C$192,$D30,'Por Fragrância'!$D$5:$D$192,$F30,'Por Fragrância'!$E$5:$E$192,$G30)</f>
        <v>0</v>
      </c>
      <c r="K30" s="18" t="n">
        <f aca="false">IF($B$6=0,0,J30/$B$6)</f>
        <v>0</v>
      </c>
      <c r="L30" s="16" t="n">
        <f aca="false">ROUNDUP(K30*$B$7,0)</f>
        <v>0</v>
      </c>
      <c r="M30" s="17" t="n">
        <f aca="false">I30+L30</f>
        <v>36</v>
      </c>
    </row>
    <row r="31" customFormat="false" ht="15" hidden="false" customHeight="false" outlineLevel="0" collapsed="false">
      <c r="A31" s="4" t="s">
        <v>125</v>
      </c>
      <c r="B31" s="4" t="s">
        <v>69</v>
      </c>
      <c r="C31" s="4" t="s">
        <v>18</v>
      </c>
      <c r="D31" s="4" t="n">
        <v>250</v>
      </c>
      <c r="E31" s="4" t="s">
        <v>15</v>
      </c>
      <c r="F31" s="4" t="s">
        <v>16</v>
      </c>
      <c r="G31" s="4" t="s">
        <v>21</v>
      </c>
      <c r="H31" s="4" t="s">
        <v>117</v>
      </c>
      <c r="I31" s="16" t="n">
        <f aca="false">SUMIFS('Por Fragrância'!$H$5:$H$192,'Por Fragrância'!$A$5:$A$192,$B31,'Por Fragrância'!$B$5:$B$192,$C31,'Por Fragrância'!$C$5:$C$192,$D31,'Por Fragrância'!$D$5:$D$192,$F31,'Por Fragrância'!$E$5:$E$192,$G31)</f>
        <v>16</v>
      </c>
      <c r="J31" s="16" t="n">
        <f aca="false">SUMIFS('Por Fragrância'!$I$5:$I$192,'Por Fragrância'!$A$5:$A$192,$B31,'Por Fragrância'!$B$5:$B$192,$C31,'Por Fragrância'!$C$5:$C$192,$D31,'Por Fragrância'!$D$5:$D$192,$F31,'Por Fragrância'!$E$5:$E$192,$G31)</f>
        <v>0</v>
      </c>
      <c r="K31" s="18" t="n">
        <f aca="false">IF($B$6=0,0,J31/$B$6)</f>
        <v>0</v>
      </c>
      <c r="L31" s="16" t="n">
        <f aca="false">ROUNDUP(K31*$B$7,0)</f>
        <v>0</v>
      </c>
      <c r="M31" s="17" t="n">
        <f aca="false">I31+L31</f>
        <v>16</v>
      </c>
    </row>
    <row r="32" customFormat="false" ht="15" hidden="false" customHeight="false" outlineLevel="0" collapsed="false">
      <c r="A32" s="4" t="s">
        <v>126</v>
      </c>
      <c r="B32" s="4" t="s">
        <v>70</v>
      </c>
      <c r="C32" s="4" t="s">
        <v>18</v>
      </c>
      <c r="D32" s="4" t="n">
        <v>250</v>
      </c>
      <c r="E32" s="4" t="s">
        <v>15</v>
      </c>
      <c r="F32" s="4" t="s">
        <v>16</v>
      </c>
      <c r="G32" s="4" t="s">
        <v>21</v>
      </c>
      <c r="H32" s="4" t="s">
        <v>117</v>
      </c>
      <c r="I32" s="16" t="n">
        <f aca="false">SUMIFS('Por Fragrância'!$H$5:$H$192,'Por Fragrância'!$A$5:$A$192,$B32,'Por Fragrância'!$B$5:$B$192,$C32,'Por Fragrância'!$C$5:$C$192,$D32,'Por Fragrância'!$D$5:$D$192,$F32,'Por Fragrância'!$E$5:$E$192,$G32)</f>
        <v>36</v>
      </c>
      <c r="J32" s="16" t="n">
        <f aca="false">SUMIFS('Por Fragrância'!$I$5:$I$192,'Por Fragrância'!$A$5:$A$192,$B32,'Por Fragrância'!$B$5:$B$192,$C32,'Por Fragrância'!$C$5:$C$192,$D32,'Por Fragrância'!$D$5:$D$192,$F32,'Por Fragrância'!$E$5:$E$192,$G32)</f>
        <v>0</v>
      </c>
      <c r="K32" s="18" t="n">
        <f aca="false">IF($B$6=0,0,J32/$B$6)</f>
        <v>0</v>
      </c>
      <c r="L32" s="16" t="n">
        <f aca="false">ROUNDUP(K32*$B$7,0)</f>
        <v>0</v>
      </c>
      <c r="M32" s="17" t="n">
        <f aca="false">I32+L32</f>
        <v>36</v>
      </c>
    </row>
    <row r="33" customFormat="false" ht="15" hidden="false" customHeight="false" outlineLevel="0" collapsed="false">
      <c r="A33" s="4" t="s">
        <v>127</v>
      </c>
      <c r="B33" s="4" t="s">
        <v>73</v>
      </c>
      <c r="C33" s="4" t="s">
        <v>18</v>
      </c>
      <c r="D33" s="4" t="n">
        <v>250</v>
      </c>
      <c r="E33" s="4" t="s">
        <v>15</v>
      </c>
      <c r="F33" s="4" t="s">
        <v>16</v>
      </c>
      <c r="G33" s="4" t="s">
        <v>21</v>
      </c>
      <c r="H33" s="4" t="s">
        <v>117</v>
      </c>
      <c r="I33" s="16" t="n">
        <f aca="false">SUMIFS('Por Fragrância'!$H$5:$H$192,'Por Fragrância'!$A$5:$A$192,$B33,'Por Fragrância'!$B$5:$B$192,$C33,'Por Fragrância'!$C$5:$C$192,$D33,'Por Fragrância'!$D$5:$D$192,$F33,'Por Fragrância'!$E$5:$E$192,$G33)</f>
        <v>16</v>
      </c>
      <c r="J33" s="16" t="n">
        <f aca="false">SUMIFS('Por Fragrância'!$I$5:$I$192,'Por Fragrância'!$A$5:$A$192,$B33,'Por Fragrância'!$B$5:$B$192,$C33,'Por Fragrância'!$C$5:$C$192,$D33,'Por Fragrância'!$D$5:$D$192,$F33,'Por Fragrância'!$E$5:$E$192,$G33)</f>
        <v>0</v>
      </c>
      <c r="K33" s="18" t="n">
        <f aca="false">IF($B$6=0,0,J33/$B$6)</f>
        <v>0</v>
      </c>
      <c r="L33" s="16" t="n">
        <f aca="false">ROUNDUP(K33*$B$7,0)</f>
        <v>0</v>
      </c>
      <c r="M33" s="17" t="n">
        <f aca="false">I33+L33</f>
        <v>16</v>
      </c>
    </row>
    <row r="34" customFormat="false" ht="15" hidden="false" customHeight="false" outlineLevel="0" collapsed="false">
      <c r="A34" s="4" t="s">
        <v>128</v>
      </c>
      <c r="B34" s="4" t="s">
        <v>78</v>
      </c>
      <c r="C34" s="4" t="s">
        <v>18</v>
      </c>
      <c r="D34" s="4" t="n">
        <v>250</v>
      </c>
      <c r="E34" s="4" t="s">
        <v>15</v>
      </c>
      <c r="F34" s="4" t="s">
        <v>16</v>
      </c>
      <c r="G34" s="4" t="s">
        <v>21</v>
      </c>
      <c r="H34" s="4" t="s">
        <v>117</v>
      </c>
      <c r="I34" s="16" t="n">
        <f aca="false">SUMIFS('Por Fragrância'!$H$5:$H$192,'Por Fragrância'!$A$5:$A$192,$B34,'Por Fragrância'!$B$5:$B$192,$C34,'Por Fragrância'!$C$5:$C$192,$D34,'Por Fragrância'!$D$5:$D$192,$F34,'Por Fragrância'!$E$5:$E$192,$G34)</f>
        <v>36</v>
      </c>
      <c r="J34" s="16" t="n">
        <f aca="false">SUMIFS('Por Fragrância'!$I$5:$I$192,'Por Fragrância'!$A$5:$A$192,$B34,'Por Fragrância'!$B$5:$B$192,$C34,'Por Fragrância'!$C$5:$C$192,$D34,'Por Fragrância'!$D$5:$D$192,$F34,'Por Fragrância'!$E$5:$E$192,$G34)</f>
        <v>0</v>
      </c>
      <c r="K34" s="18" t="n">
        <f aca="false">IF($B$6=0,0,J34/$B$6)</f>
        <v>0</v>
      </c>
      <c r="L34" s="16" t="n">
        <f aca="false">ROUNDUP(K34*$B$7,0)</f>
        <v>0</v>
      </c>
      <c r="M34" s="17" t="n">
        <f aca="false">I34+L34</f>
        <v>36</v>
      </c>
    </row>
    <row r="35" customFormat="false" ht="15" hidden="false" customHeight="false" outlineLevel="0" collapsed="false">
      <c r="A35" s="4" t="s">
        <v>129</v>
      </c>
      <c r="B35" s="4" t="s">
        <v>81</v>
      </c>
      <c r="C35" s="4" t="s">
        <v>18</v>
      </c>
      <c r="D35" s="4" t="n">
        <v>250</v>
      </c>
      <c r="E35" s="4" t="s">
        <v>15</v>
      </c>
      <c r="F35" s="4" t="s">
        <v>16</v>
      </c>
      <c r="G35" s="4" t="s">
        <v>21</v>
      </c>
      <c r="H35" s="4" t="s">
        <v>117</v>
      </c>
      <c r="I35" s="16" t="n">
        <f aca="false">SUMIFS('Por Fragrância'!$H$5:$H$192,'Por Fragrância'!$A$5:$A$192,$B35,'Por Fragrância'!$B$5:$B$192,$C35,'Por Fragrância'!$C$5:$C$192,$D35,'Por Fragrância'!$D$5:$D$192,$F35,'Por Fragrância'!$E$5:$E$192,$G35)</f>
        <v>36</v>
      </c>
      <c r="J35" s="16" t="n">
        <f aca="false">SUMIFS('Por Fragrância'!$I$5:$I$192,'Por Fragrância'!$A$5:$A$192,$B35,'Por Fragrância'!$B$5:$B$192,$C35,'Por Fragrância'!$C$5:$C$192,$D35,'Por Fragrância'!$D$5:$D$192,$F35,'Por Fragrância'!$E$5:$E$192,$G35)</f>
        <v>0</v>
      </c>
      <c r="K35" s="18" t="n">
        <f aca="false">IF($B$6=0,0,J35/$B$6)</f>
        <v>0</v>
      </c>
      <c r="L35" s="16" t="n">
        <f aca="false">ROUNDUP(K35*$B$7,0)</f>
        <v>0</v>
      </c>
      <c r="M35" s="17" t="n">
        <f aca="false">I35+L35</f>
        <v>36</v>
      </c>
    </row>
    <row r="36" customFormat="false" ht="15" hidden="false" customHeight="false" outlineLevel="0" collapsed="false">
      <c r="A36" s="4" t="s">
        <v>130</v>
      </c>
      <c r="B36" s="4" t="s">
        <v>85</v>
      </c>
      <c r="C36" s="4" t="s">
        <v>18</v>
      </c>
      <c r="D36" s="4" t="n">
        <v>250</v>
      </c>
      <c r="E36" s="4" t="s">
        <v>15</v>
      </c>
      <c r="F36" s="4" t="s">
        <v>16</v>
      </c>
      <c r="G36" s="4" t="s">
        <v>21</v>
      </c>
      <c r="H36" s="4" t="s">
        <v>117</v>
      </c>
      <c r="I36" s="16" t="n">
        <f aca="false">SUMIFS('Por Fragrância'!$H$5:$H$192,'Por Fragrância'!$A$5:$A$192,$B36,'Por Fragrância'!$B$5:$B$192,$C36,'Por Fragrância'!$C$5:$C$192,$D36,'Por Fragrância'!$D$5:$D$192,$F36,'Por Fragrância'!$E$5:$E$192,$G36)</f>
        <v>36</v>
      </c>
      <c r="J36" s="16" t="n">
        <f aca="false">SUMIFS('Por Fragrância'!$I$5:$I$192,'Por Fragrância'!$A$5:$A$192,$B36,'Por Fragrância'!$B$5:$B$192,$C36,'Por Fragrância'!$C$5:$C$192,$D36,'Por Fragrância'!$D$5:$D$192,$F36,'Por Fragrância'!$E$5:$E$192,$G36)</f>
        <v>0</v>
      </c>
      <c r="K36" s="18" t="n">
        <f aca="false">IF($B$6=0,0,J36/$B$6)</f>
        <v>0</v>
      </c>
      <c r="L36" s="16" t="n">
        <f aca="false">ROUNDUP(K36*$B$7,0)</f>
        <v>0</v>
      </c>
      <c r="M36" s="17" t="n">
        <f aca="false">I36+L36</f>
        <v>36</v>
      </c>
    </row>
    <row r="37" customFormat="false" ht="15" hidden="false" customHeight="false" outlineLevel="0" collapsed="false">
      <c r="A37" s="4" t="s">
        <v>131</v>
      </c>
      <c r="B37" s="4" t="s">
        <v>88</v>
      </c>
      <c r="C37" s="4" t="s">
        <v>18</v>
      </c>
      <c r="D37" s="4" t="n">
        <v>250</v>
      </c>
      <c r="E37" s="4" t="s">
        <v>15</v>
      </c>
      <c r="F37" s="4" t="s">
        <v>16</v>
      </c>
      <c r="G37" s="4" t="s">
        <v>21</v>
      </c>
      <c r="H37" s="4" t="s">
        <v>117</v>
      </c>
      <c r="I37" s="16" t="n">
        <f aca="false">SUMIFS('Por Fragrância'!$H$5:$H$192,'Por Fragrância'!$A$5:$A$192,$B37,'Por Fragrância'!$B$5:$B$192,$C37,'Por Fragrância'!$C$5:$C$192,$D37,'Por Fragrância'!$D$5:$D$192,$F37,'Por Fragrância'!$E$5:$E$192,$G37)</f>
        <v>36</v>
      </c>
      <c r="J37" s="16" t="n">
        <f aca="false">SUMIFS('Por Fragrância'!$I$5:$I$192,'Por Fragrância'!$A$5:$A$192,$B37,'Por Fragrância'!$B$5:$B$192,$C37,'Por Fragrância'!$C$5:$C$192,$D37,'Por Fragrância'!$D$5:$D$192,$F37,'Por Fragrância'!$E$5:$E$192,$G37)</f>
        <v>0</v>
      </c>
      <c r="K37" s="18" t="n">
        <f aca="false">IF($B$6=0,0,J37/$B$6)</f>
        <v>0</v>
      </c>
      <c r="L37" s="16" t="n">
        <f aca="false">ROUNDUP(K37*$B$7,0)</f>
        <v>0</v>
      </c>
      <c r="M37" s="17" t="n">
        <f aca="false">I37+L37</f>
        <v>36</v>
      </c>
    </row>
    <row r="38" customFormat="false" ht="15" hidden="false" customHeight="false" outlineLevel="0" collapsed="false">
      <c r="A38" s="4" t="s">
        <v>132</v>
      </c>
      <c r="B38" s="4" t="s">
        <v>89</v>
      </c>
      <c r="C38" s="4" t="s">
        <v>18</v>
      </c>
      <c r="D38" s="4" t="n">
        <v>250</v>
      </c>
      <c r="E38" s="4" t="s">
        <v>15</v>
      </c>
      <c r="F38" s="4" t="s">
        <v>16</v>
      </c>
      <c r="G38" s="4" t="s">
        <v>21</v>
      </c>
      <c r="H38" s="4" t="s">
        <v>117</v>
      </c>
      <c r="I38" s="16" t="n">
        <f aca="false">SUMIFS('Por Fragrância'!$H$5:$H$192,'Por Fragrância'!$A$5:$A$192,$B38,'Por Fragrância'!$B$5:$B$192,$C38,'Por Fragrância'!$C$5:$C$192,$D38,'Por Fragrância'!$D$5:$D$192,$F38,'Por Fragrância'!$E$5:$E$192,$G38)</f>
        <v>36</v>
      </c>
      <c r="J38" s="16" t="n">
        <f aca="false">SUMIFS('Por Fragrância'!$I$5:$I$192,'Por Fragrância'!$A$5:$A$192,$B38,'Por Fragrância'!$B$5:$B$192,$C38,'Por Fragrância'!$C$5:$C$192,$D38,'Por Fragrância'!$D$5:$D$192,$F38,'Por Fragrância'!$E$5:$E$192,$G38)</f>
        <v>0</v>
      </c>
      <c r="K38" s="18" t="n">
        <f aca="false">IF($B$6=0,0,J38/$B$6)</f>
        <v>0</v>
      </c>
      <c r="L38" s="16" t="n">
        <f aca="false">ROUNDUP(K38*$B$7,0)</f>
        <v>0</v>
      </c>
      <c r="M38" s="17" t="n">
        <f aca="false">I38+L38</f>
        <v>36</v>
      </c>
    </row>
    <row r="39" customFormat="false" ht="15" hidden="false" customHeight="false" outlineLevel="0" collapsed="false">
      <c r="A39" s="4" t="s">
        <v>133</v>
      </c>
      <c r="B39" s="4" t="s">
        <v>91</v>
      </c>
      <c r="C39" s="4" t="s">
        <v>18</v>
      </c>
      <c r="D39" s="4" t="n">
        <v>250</v>
      </c>
      <c r="E39" s="4" t="s">
        <v>15</v>
      </c>
      <c r="F39" s="4" t="s">
        <v>16</v>
      </c>
      <c r="G39" s="4" t="s">
        <v>21</v>
      </c>
      <c r="H39" s="4" t="s">
        <v>117</v>
      </c>
      <c r="I39" s="16" t="n">
        <f aca="false">SUMIFS('Por Fragrância'!$H$5:$H$192,'Por Fragrância'!$A$5:$A$192,$B39,'Por Fragrância'!$B$5:$B$192,$C39,'Por Fragrância'!$C$5:$C$192,$D39,'Por Fragrância'!$D$5:$D$192,$F39,'Por Fragrância'!$E$5:$E$192,$G39)</f>
        <v>36</v>
      </c>
      <c r="J39" s="16" t="n">
        <f aca="false">SUMIFS('Por Fragrância'!$I$5:$I$192,'Por Fragrância'!$A$5:$A$192,$B39,'Por Fragrância'!$B$5:$B$192,$C39,'Por Fragrância'!$C$5:$C$192,$D39,'Por Fragrância'!$D$5:$D$192,$F39,'Por Fragrância'!$E$5:$E$192,$G39)</f>
        <v>0</v>
      </c>
      <c r="K39" s="18" t="n">
        <f aca="false">IF($B$6=0,0,J39/$B$6)</f>
        <v>0</v>
      </c>
      <c r="L39" s="16" t="n">
        <f aca="false">ROUNDUP(K39*$B$7,0)</f>
        <v>0</v>
      </c>
      <c r="M39" s="17" t="n">
        <f aca="false">I39+L39</f>
        <v>36</v>
      </c>
    </row>
    <row r="40" customFormat="false" ht="15" hidden="false" customHeight="false" outlineLevel="0" collapsed="false">
      <c r="A40" s="4" t="s">
        <v>134</v>
      </c>
      <c r="B40" s="4" t="s">
        <v>11</v>
      </c>
      <c r="C40" s="4" t="s">
        <v>12</v>
      </c>
      <c r="D40" s="4" t="n">
        <v>15</v>
      </c>
      <c r="E40" s="4" t="s">
        <v>15</v>
      </c>
      <c r="F40" s="4" t="s">
        <v>16</v>
      </c>
      <c r="G40" s="4" t="s">
        <v>17</v>
      </c>
      <c r="H40" s="4" t="s">
        <v>14</v>
      </c>
      <c r="I40" s="16" t="n">
        <f aca="false">SUMIFS('Por Fragrância'!$H$5:$H$192,'Por Fragrância'!$A$5:$A$192,$B40,'Por Fragrância'!$B$5:$B$192,$C40,'Por Fragrância'!$C$5:$C$192,$D40,'Por Fragrância'!$D$5:$D$192,$F40,'Por Fragrância'!$E$5:$E$192,$G40)</f>
        <v>200</v>
      </c>
      <c r="J40" s="16" t="n">
        <f aca="false">SUMIFS('Por Fragrância'!$I$5:$I$192,'Por Fragrância'!$A$5:$A$192,$B40,'Por Fragrância'!$B$5:$B$192,$C40,'Por Fragrância'!$C$5:$C$192,$D40,'Por Fragrância'!$D$5:$D$192,$F40,'Por Fragrância'!$E$5:$E$192,$G40)</f>
        <v>0</v>
      </c>
      <c r="K40" s="18" t="n">
        <f aca="false">IF($B$6=0,0,J40/$B$6)</f>
        <v>0</v>
      </c>
      <c r="L40" s="16" t="n">
        <f aca="false">ROUNDUP(K40*$B$7,0)</f>
        <v>0</v>
      </c>
      <c r="M40" s="17" t="n">
        <f aca="false">I40+L40</f>
        <v>200</v>
      </c>
    </row>
    <row r="41" customFormat="false" ht="15" hidden="false" customHeight="false" outlineLevel="0" collapsed="false">
      <c r="A41" s="4" t="s">
        <v>135</v>
      </c>
      <c r="B41" s="4" t="s">
        <v>28</v>
      </c>
      <c r="C41" s="4" t="s">
        <v>12</v>
      </c>
      <c r="D41" s="4" t="n">
        <v>15</v>
      </c>
      <c r="E41" s="4" t="s">
        <v>15</v>
      </c>
      <c r="F41" s="4" t="s">
        <v>16</v>
      </c>
      <c r="G41" s="4" t="s">
        <v>17</v>
      </c>
      <c r="H41" s="4" t="s">
        <v>14</v>
      </c>
      <c r="I41" s="16" t="n">
        <f aca="false">SUMIFS('Por Fragrância'!$H$5:$H$192,'Por Fragrância'!$A$5:$A$192,$B41,'Por Fragrância'!$B$5:$B$192,$C41,'Por Fragrância'!$C$5:$C$192,$D41,'Por Fragrância'!$D$5:$D$192,$F41,'Por Fragrância'!$E$5:$E$192,$G41)</f>
        <v>100</v>
      </c>
      <c r="J41" s="16" t="n">
        <f aca="false">SUMIFS('Por Fragrância'!$I$5:$I$192,'Por Fragrância'!$A$5:$A$192,$B41,'Por Fragrância'!$B$5:$B$192,$C41,'Por Fragrância'!$C$5:$C$192,$D41,'Por Fragrância'!$D$5:$D$192,$F41,'Por Fragrância'!$E$5:$E$192,$G41)</f>
        <v>0</v>
      </c>
      <c r="K41" s="18" t="n">
        <f aca="false">IF($B$6=0,0,J41/$B$6)</f>
        <v>0</v>
      </c>
      <c r="L41" s="16" t="n">
        <f aca="false">ROUNDUP(K41*$B$7,0)</f>
        <v>0</v>
      </c>
      <c r="M41" s="17" t="n">
        <f aca="false">I41+L41</f>
        <v>100</v>
      </c>
    </row>
    <row r="42" customFormat="false" ht="15" hidden="false" customHeight="false" outlineLevel="0" collapsed="false">
      <c r="A42" s="4" t="s">
        <v>136</v>
      </c>
      <c r="B42" s="4" t="s">
        <v>28</v>
      </c>
      <c r="C42" s="4" t="s">
        <v>29</v>
      </c>
      <c r="D42" s="4" t="n">
        <v>15</v>
      </c>
      <c r="E42" s="4" t="s">
        <v>15</v>
      </c>
      <c r="F42" s="4" t="s">
        <v>16</v>
      </c>
      <c r="G42" s="4" t="s">
        <v>17</v>
      </c>
      <c r="H42" s="4" t="s">
        <v>36</v>
      </c>
      <c r="I42" s="16" t="n">
        <f aca="false">SUMIFS('Por Fragrância'!$H$5:$H$192,'Por Fragrância'!$A$5:$A$192,$B42,'Por Fragrância'!$B$5:$B$192,$C42,'Por Fragrância'!$C$5:$C$192,$D42,'Por Fragrância'!$D$5:$D$192,$F42,'Por Fragrância'!$E$5:$E$192,$G42)</f>
        <v>100</v>
      </c>
      <c r="J42" s="16" t="n">
        <f aca="false">SUMIFS('Por Fragrância'!$I$5:$I$192,'Por Fragrância'!$A$5:$A$192,$B42,'Por Fragrância'!$B$5:$B$192,$C42,'Por Fragrância'!$C$5:$C$192,$D42,'Por Fragrância'!$D$5:$D$192,$F42,'Por Fragrância'!$E$5:$E$192,$G42)</f>
        <v>0</v>
      </c>
      <c r="K42" s="18" t="n">
        <f aca="false">IF($B$6=0,0,J42/$B$6)</f>
        <v>0</v>
      </c>
      <c r="L42" s="16" t="n">
        <f aca="false">ROUNDUP(K42*$B$7,0)</f>
        <v>0</v>
      </c>
      <c r="M42" s="17" t="n">
        <f aca="false">I42+L42</f>
        <v>100</v>
      </c>
    </row>
    <row r="43" customFormat="false" ht="15" hidden="false" customHeight="false" outlineLevel="0" collapsed="false">
      <c r="A43" s="4" t="s">
        <v>137</v>
      </c>
      <c r="B43" s="4" t="s">
        <v>38</v>
      </c>
      <c r="C43" s="4" t="s">
        <v>12</v>
      </c>
      <c r="D43" s="4" t="n">
        <v>15</v>
      </c>
      <c r="E43" s="4" t="s">
        <v>15</v>
      </c>
      <c r="F43" s="4" t="s">
        <v>16</v>
      </c>
      <c r="G43" s="4" t="s">
        <v>17</v>
      </c>
      <c r="H43" s="4" t="s">
        <v>14</v>
      </c>
      <c r="I43" s="16" t="n">
        <f aca="false">SUMIFS('Por Fragrância'!$H$5:$H$192,'Por Fragrância'!$A$5:$A$192,$B43,'Por Fragrância'!$B$5:$B$192,$C43,'Por Fragrância'!$C$5:$C$192,$D43,'Por Fragrância'!$D$5:$D$192,$F43,'Por Fragrância'!$E$5:$E$192,$G43)</f>
        <v>100</v>
      </c>
      <c r="J43" s="16" t="n">
        <f aca="false">SUMIFS('Por Fragrância'!$I$5:$I$192,'Por Fragrância'!$A$5:$A$192,$B43,'Por Fragrância'!$B$5:$B$192,$C43,'Por Fragrância'!$C$5:$C$192,$D43,'Por Fragrância'!$D$5:$D$192,$F43,'Por Fragrância'!$E$5:$E$192,$G43)</f>
        <v>0</v>
      </c>
      <c r="K43" s="18" t="n">
        <f aca="false">IF($B$6=0,0,J43/$B$6)</f>
        <v>0</v>
      </c>
      <c r="L43" s="16" t="n">
        <f aca="false">ROUNDUP(K43*$B$7,0)</f>
        <v>0</v>
      </c>
      <c r="M43" s="17" t="n">
        <f aca="false">I43+L43</f>
        <v>100</v>
      </c>
    </row>
    <row r="44" customFormat="false" ht="15" hidden="false" customHeight="false" outlineLevel="0" collapsed="false">
      <c r="A44" s="4" t="s">
        <v>138</v>
      </c>
      <c r="B44" s="4" t="s">
        <v>38</v>
      </c>
      <c r="C44" s="4" t="s">
        <v>29</v>
      </c>
      <c r="D44" s="4" t="n">
        <v>15</v>
      </c>
      <c r="E44" s="4" t="s">
        <v>15</v>
      </c>
      <c r="F44" s="4" t="s">
        <v>16</v>
      </c>
      <c r="G44" s="4" t="s">
        <v>17</v>
      </c>
      <c r="H44" s="4" t="s">
        <v>36</v>
      </c>
      <c r="I44" s="16" t="n">
        <f aca="false">SUMIFS('Por Fragrância'!$H$5:$H$192,'Por Fragrância'!$A$5:$A$192,$B44,'Por Fragrância'!$B$5:$B$192,$C44,'Por Fragrância'!$C$5:$C$192,$D44,'Por Fragrância'!$D$5:$D$192,$F44,'Por Fragrância'!$E$5:$E$192,$G44)</f>
        <v>100</v>
      </c>
      <c r="J44" s="16" t="n">
        <f aca="false">SUMIFS('Por Fragrância'!$I$5:$I$192,'Por Fragrância'!$A$5:$A$192,$B44,'Por Fragrância'!$B$5:$B$192,$C44,'Por Fragrância'!$C$5:$C$192,$D44,'Por Fragrância'!$D$5:$D$192,$F44,'Por Fragrância'!$E$5:$E$192,$G44)</f>
        <v>0</v>
      </c>
      <c r="K44" s="18" t="n">
        <f aca="false">IF($B$6=0,0,J44/$B$6)</f>
        <v>0</v>
      </c>
      <c r="L44" s="16" t="n">
        <f aca="false">ROUNDUP(K44*$B$7,0)</f>
        <v>0</v>
      </c>
      <c r="M44" s="17" t="n">
        <f aca="false">I44+L44</f>
        <v>100</v>
      </c>
    </row>
    <row r="45" customFormat="false" ht="15" hidden="false" customHeight="false" outlineLevel="0" collapsed="false">
      <c r="A45" s="4" t="s">
        <v>139</v>
      </c>
      <c r="B45" s="4" t="s">
        <v>41</v>
      </c>
      <c r="C45" s="4" t="s">
        <v>12</v>
      </c>
      <c r="D45" s="4" t="n">
        <v>15</v>
      </c>
      <c r="E45" s="4" t="s">
        <v>15</v>
      </c>
      <c r="F45" s="4" t="s">
        <v>16</v>
      </c>
      <c r="G45" s="4" t="s">
        <v>17</v>
      </c>
      <c r="H45" s="4" t="s">
        <v>14</v>
      </c>
      <c r="I45" s="16" t="n">
        <f aca="false">SUMIFS('Por Fragrância'!$H$5:$H$192,'Por Fragrância'!$A$5:$A$192,$B45,'Por Fragrância'!$B$5:$B$192,$C45,'Por Fragrância'!$C$5:$C$192,$D45,'Por Fragrância'!$D$5:$D$192,$F45,'Por Fragrância'!$E$5:$E$192,$G45)</f>
        <v>100</v>
      </c>
      <c r="J45" s="16" t="n">
        <f aca="false">SUMIFS('Por Fragrância'!$I$5:$I$192,'Por Fragrância'!$A$5:$A$192,$B45,'Por Fragrância'!$B$5:$B$192,$C45,'Por Fragrância'!$C$5:$C$192,$D45,'Por Fragrância'!$D$5:$D$192,$F45,'Por Fragrância'!$E$5:$E$192,$G45)</f>
        <v>0</v>
      </c>
      <c r="K45" s="18" t="n">
        <f aca="false">IF($B$6=0,0,J45/$B$6)</f>
        <v>0</v>
      </c>
      <c r="L45" s="16" t="n">
        <f aca="false">ROUNDUP(K45*$B$7,0)</f>
        <v>0</v>
      </c>
      <c r="M45" s="17" t="n">
        <f aca="false">I45+L45</f>
        <v>100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29</v>
      </c>
      <c r="D46" s="4" t="n">
        <v>15</v>
      </c>
      <c r="E46" s="4" t="s">
        <v>15</v>
      </c>
      <c r="F46" s="4" t="s">
        <v>16</v>
      </c>
      <c r="G46" s="4" t="s">
        <v>17</v>
      </c>
      <c r="H46" s="4" t="s">
        <v>36</v>
      </c>
      <c r="I46" s="16" t="n">
        <f aca="false">SUMIFS('Por Fragrância'!$H$5:$H$192,'Por Fragrância'!$A$5:$A$192,$B46,'Por Fragrância'!$B$5:$B$192,$C46,'Por Fragrância'!$C$5:$C$192,$D46,'Por Fragrância'!$D$5:$D$192,$F46,'Por Fragrância'!$E$5:$E$192,$G46)</f>
        <v>100</v>
      </c>
      <c r="J46" s="16" t="n">
        <f aca="false">SUMIFS('Por Fragrância'!$I$5:$I$192,'Por Fragrância'!$A$5:$A$192,$B46,'Por Fragrância'!$B$5:$B$192,$C46,'Por Fragrância'!$C$5:$C$192,$D46,'Por Fragrância'!$D$5:$D$192,$F46,'Por Fragrância'!$E$5:$E$192,$G46)</f>
        <v>0</v>
      </c>
      <c r="K46" s="18" t="n">
        <f aca="false">IF($B$6=0,0,J46/$B$6)</f>
        <v>0</v>
      </c>
      <c r="L46" s="16" t="n">
        <f aca="false">ROUNDUP(K46*$B$7,0)</f>
        <v>0</v>
      </c>
      <c r="M46" s="17" t="n">
        <f aca="false">I46+L46</f>
        <v>100</v>
      </c>
    </row>
    <row r="47" customFormat="false" ht="15" hidden="false" customHeight="false" outlineLevel="0" collapsed="false">
      <c r="A47" s="4" t="s">
        <v>141</v>
      </c>
      <c r="B47" s="4" t="s">
        <v>43</v>
      </c>
      <c r="C47" s="4" t="s">
        <v>12</v>
      </c>
      <c r="D47" s="4" t="n">
        <v>15</v>
      </c>
      <c r="E47" s="4" t="s">
        <v>15</v>
      </c>
      <c r="F47" s="4" t="s">
        <v>16</v>
      </c>
      <c r="G47" s="4" t="s">
        <v>17</v>
      </c>
      <c r="H47" s="4" t="s">
        <v>14</v>
      </c>
      <c r="I47" s="16" t="n">
        <f aca="false">SUMIFS('Por Fragrância'!$H$5:$H$192,'Por Fragrância'!$A$5:$A$192,$B47,'Por Fragrância'!$B$5:$B$192,$C47,'Por Fragrância'!$C$5:$C$192,$D47,'Por Fragrância'!$D$5:$D$192,$F47,'Por Fragrância'!$E$5:$E$192,$G47)</f>
        <v>100</v>
      </c>
      <c r="J47" s="16" t="n">
        <f aca="false">SUMIFS('Por Fragrância'!$I$5:$I$192,'Por Fragrância'!$A$5:$A$192,$B47,'Por Fragrância'!$B$5:$B$192,$C47,'Por Fragrância'!$C$5:$C$192,$D47,'Por Fragrância'!$D$5:$D$192,$F47,'Por Fragrância'!$E$5:$E$192,$G47)</f>
        <v>0</v>
      </c>
      <c r="K47" s="18" t="n">
        <f aca="false">IF($B$6=0,0,J47/$B$6)</f>
        <v>0</v>
      </c>
      <c r="L47" s="16" t="n">
        <f aca="false">ROUNDUP(K47*$B$7,0)</f>
        <v>0</v>
      </c>
      <c r="M47" s="17" t="n">
        <f aca="false">I47+L47</f>
        <v>100</v>
      </c>
    </row>
    <row r="48" customFormat="false" ht="15" hidden="false" customHeight="false" outlineLevel="0" collapsed="false">
      <c r="A48" s="4" t="s">
        <v>142</v>
      </c>
      <c r="B48" s="4" t="s">
        <v>43</v>
      </c>
      <c r="C48" s="4" t="s">
        <v>29</v>
      </c>
      <c r="D48" s="4" t="n">
        <v>15</v>
      </c>
      <c r="E48" s="4" t="s">
        <v>15</v>
      </c>
      <c r="F48" s="4" t="s">
        <v>16</v>
      </c>
      <c r="G48" s="4" t="s">
        <v>17</v>
      </c>
      <c r="H48" s="4" t="s">
        <v>36</v>
      </c>
      <c r="I48" s="16" t="n">
        <f aca="false">SUMIFS('Por Fragrância'!$H$5:$H$192,'Por Fragrância'!$A$5:$A$192,$B48,'Por Fragrância'!$B$5:$B$192,$C48,'Por Fragrância'!$C$5:$C$192,$D48,'Por Fragrância'!$D$5:$D$192,$F48,'Por Fragrância'!$E$5:$E$192,$G48)</f>
        <v>100</v>
      </c>
      <c r="J48" s="16" t="n">
        <f aca="false">SUMIFS('Por Fragrância'!$I$5:$I$192,'Por Fragrância'!$A$5:$A$192,$B48,'Por Fragrância'!$B$5:$B$192,$C48,'Por Fragrância'!$C$5:$C$192,$D48,'Por Fragrância'!$D$5:$D$192,$F48,'Por Fragrância'!$E$5:$E$192,$G48)</f>
        <v>0</v>
      </c>
      <c r="K48" s="18" t="n">
        <f aca="false">IF($B$6=0,0,J48/$B$6)</f>
        <v>0</v>
      </c>
      <c r="L48" s="16" t="n">
        <f aca="false">ROUNDUP(K48*$B$7,0)</f>
        <v>0</v>
      </c>
      <c r="M48" s="17" t="n">
        <f aca="false">I48+L48</f>
        <v>100</v>
      </c>
    </row>
    <row r="49" customFormat="false" ht="15" hidden="false" customHeight="false" outlineLevel="0" collapsed="false">
      <c r="A49" s="4" t="s">
        <v>143</v>
      </c>
      <c r="B49" s="4" t="s">
        <v>47</v>
      </c>
      <c r="C49" s="4" t="s">
        <v>12</v>
      </c>
      <c r="D49" s="4" t="n">
        <v>15</v>
      </c>
      <c r="E49" s="4" t="s">
        <v>15</v>
      </c>
      <c r="F49" s="4" t="s">
        <v>16</v>
      </c>
      <c r="G49" s="4" t="s">
        <v>17</v>
      </c>
      <c r="H49" s="4" t="s">
        <v>14</v>
      </c>
      <c r="I49" s="16" t="n">
        <f aca="false">SUMIFS('Por Fragrância'!$H$5:$H$192,'Por Fragrância'!$A$5:$A$192,$B49,'Por Fragrância'!$B$5:$B$192,$C49,'Por Fragrância'!$C$5:$C$192,$D49,'Por Fragrância'!$D$5:$D$192,$F49,'Por Fragrância'!$E$5:$E$192,$G49)</f>
        <v>200</v>
      </c>
      <c r="J49" s="16" t="n">
        <f aca="false">SUMIFS('Por Fragrância'!$I$5:$I$192,'Por Fragrância'!$A$5:$A$192,$B49,'Por Fragrância'!$B$5:$B$192,$C49,'Por Fragrância'!$C$5:$C$192,$D49,'Por Fragrância'!$D$5:$D$192,$F49,'Por Fragrância'!$E$5:$E$192,$G49)</f>
        <v>0</v>
      </c>
      <c r="K49" s="18" t="n">
        <f aca="false">IF($B$6=0,0,J49/$B$6)</f>
        <v>0</v>
      </c>
      <c r="L49" s="16" t="n">
        <f aca="false">ROUNDUP(K49*$B$7,0)</f>
        <v>0</v>
      </c>
      <c r="M49" s="17" t="n">
        <f aca="false">I49+L49</f>
        <v>200</v>
      </c>
    </row>
    <row r="50" customFormat="false" ht="15" hidden="false" customHeight="false" outlineLevel="0" collapsed="false">
      <c r="A50" s="4" t="s">
        <v>144</v>
      </c>
      <c r="B50" s="4" t="s">
        <v>48</v>
      </c>
      <c r="C50" s="4" t="s">
        <v>12</v>
      </c>
      <c r="D50" s="4" t="n">
        <v>15</v>
      </c>
      <c r="E50" s="4" t="s">
        <v>15</v>
      </c>
      <c r="F50" s="4" t="s">
        <v>16</v>
      </c>
      <c r="G50" s="4" t="s">
        <v>17</v>
      </c>
      <c r="H50" s="4" t="s">
        <v>14</v>
      </c>
      <c r="I50" s="16" t="n">
        <f aca="false">SUMIFS('Por Fragrância'!$H$5:$H$192,'Por Fragrância'!$A$5:$A$192,$B50,'Por Fragrância'!$B$5:$B$192,$C50,'Por Fragrância'!$C$5:$C$192,$D50,'Por Fragrância'!$D$5:$D$192,$F50,'Por Fragrância'!$E$5:$E$192,$G50)</f>
        <v>100</v>
      </c>
      <c r="J50" s="16" t="n">
        <f aca="false">SUMIFS('Por Fragrância'!$I$5:$I$192,'Por Fragrância'!$A$5:$A$192,$B50,'Por Fragrância'!$B$5:$B$192,$C50,'Por Fragrância'!$C$5:$C$192,$D50,'Por Fragrância'!$D$5:$D$192,$F50,'Por Fragrância'!$E$5:$E$192,$G50)</f>
        <v>0</v>
      </c>
      <c r="K50" s="18" t="n">
        <f aca="false">IF($B$6=0,0,J50/$B$6)</f>
        <v>0</v>
      </c>
      <c r="L50" s="16" t="n">
        <f aca="false">ROUNDUP(K50*$B$7,0)</f>
        <v>0</v>
      </c>
      <c r="M50" s="17" t="n">
        <f aca="false">I50+L50</f>
        <v>100</v>
      </c>
    </row>
    <row r="51" customFormat="false" ht="15" hidden="false" customHeight="false" outlineLevel="0" collapsed="false">
      <c r="A51" s="4" t="s">
        <v>145</v>
      </c>
      <c r="B51" s="4" t="s">
        <v>48</v>
      </c>
      <c r="C51" s="4" t="s">
        <v>29</v>
      </c>
      <c r="D51" s="4" t="n">
        <v>15</v>
      </c>
      <c r="E51" s="4" t="s">
        <v>15</v>
      </c>
      <c r="F51" s="4" t="s">
        <v>16</v>
      </c>
      <c r="G51" s="4" t="s">
        <v>17</v>
      </c>
      <c r="H51" s="4" t="s">
        <v>36</v>
      </c>
      <c r="I51" s="16" t="n">
        <f aca="false">SUMIFS('Por Fragrância'!$H$5:$H$192,'Por Fragrância'!$A$5:$A$192,$B51,'Por Fragrância'!$B$5:$B$192,$C51,'Por Fragrância'!$C$5:$C$192,$D51,'Por Fragrância'!$D$5:$D$192,$F51,'Por Fragrância'!$E$5:$E$192,$G51)</f>
        <v>100</v>
      </c>
      <c r="J51" s="16" t="n">
        <f aca="false">SUMIFS('Por Fragrância'!$I$5:$I$192,'Por Fragrância'!$A$5:$A$192,$B51,'Por Fragrância'!$B$5:$B$192,$C51,'Por Fragrância'!$C$5:$C$192,$D51,'Por Fragrância'!$D$5:$D$192,$F51,'Por Fragrância'!$E$5:$E$192,$G51)</f>
        <v>0</v>
      </c>
      <c r="K51" s="18" t="n">
        <f aca="false">IF($B$6=0,0,J51/$B$6)</f>
        <v>0</v>
      </c>
      <c r="L51" s="16" t="n">
        <f aca="false">ROUNDUP(K51*$B$7,0)</f>
        <v>0</v>
      </c>
      <c r="M51" s="17" t="n">
        <f aca="false">I51+L51</f>
        <v>100</v>
      </c>
    </row>
    <row r="52" customFormat="false" ht="15" hidden="false" customHeight="false" outlineLevel="0" collapsed="false">
      <c r="A52" s="4" t="s">
        <v>146</v>
      </c>
      <c r="B52" s="4" t="s">
        <v>53</v>
      </c>
      <c r="C52" s="4" t="s">
        <v>12</v>
      </c>
      <c r="D52" s="4" t="n">
        <v>15</v>
      </c>
      <c r="E52" s="4" t="s">
        <v>15</v>
      </c>
      <c r="F52" s="4" t="s">
        <v>16</v>
      </c>
      <c r="G52" s="4" t="s">
        <v>17</v>
      </c>
      <c r="H52" s="4" t="s">
        <v>14</v>
      </c>
      <c r="I52" s="16" t="n">
        <f aca="false">SUMIFS('Por Fragrância'!$H$5:$H$192,'Por Fragrância'!$A$5:$A$192,$B52,'Por Fragrância'!$B$5:$B$192,$C52,'Por Fragrância'!$C$5:$C$192,$D52,'Por Fragrância'!$D$5:$D$192,$F52,'Por Fragrância'!$E$5:$E$192,$G52)</f>
        <v>200</v>
      </c>
      <c r="J52" s="16" t="n">
        <f aca="false">SUMIFS('Por Fragrância'!$I$5:$I$192,'Por Fragrância'!$A$5:$A$192,$B52,'Por Fragrância'!$B$5:$B$192,$C52,'Por Fragrância'!$C$5:$C$192,$D52,'Por Fragrância'!$D$5:$D$192,$F52,'Por Fragrância'!$E$5:$E$192,$G52)</f>
        <v>0</v>
      </c>
      <c r="K52" s="18" t="n">
        <f aca="false">IF($B$6=0,0,J52/$B$6)</f>
        <v>0</v>
      </c>
      <c r="L52" s="16" t="n">
        <f aca="false">ROUNDUP(K52*$B$7,0)</f>
        <v>0</v>
      </c>
      <c r="M52" s="17" t="n">
        <f aca="false">I52+L52</f>
        <v>200</v>
      </c>
    </row>
    <row r="53" customFormat="false" ht="15" hidden="false" customHeight="false" outlineLevel="0" collapsed="false">
      <c r="A53" s="4" t="s">
        <v>147</v>
      </c>
      <c r="B53" s="4" t="s">
        <v>69</v>
      </c>
      <c r="C53" s="4" t="s">
        <v>12</v>
      </c>
      <c r="D53" s="4" t="n">
        <v>15</v>
      </c>
      <c r="E53" s="4" t="s">
        <v>15</v>
      </c>
      <c r="F53" s="4" t="s">
        <v>16</v>
      </c>
      <c r="G53" s="4" t="s">
        <v>17</v>
      </c>
      <c r="H53" s="4" t="s">
        <v>14</v>
      </c>
      <c r="I53" s="16" t="n">
        <f aca="false">SUMIFS('Por Fragrância'!$H$5:$H$192,'Por Fragrância'!$A$5:$A$192,$B53,'Por Fragrância'!$B$5:$B$192,$C53,'Por Fragrância'!$C$5:$C$192,$D53,'Por Fragrância'!$D$5:$D$192,$F53,'Por Fragrância'!$E$5:$E$192,$G53)</f>
        <v>100</v>
      </c>
      <c r="J53" s="16" t="n">
        <f aca="false">SUMIFS('Por Fragrância'!$I$5:$I$192,'Por Fragrância'!$A$5:$A$192,$B53,'Por Fragrância'!$B$5:$B$192,$C53,'Por Fragrância'!$C$5:$C$192,$D53,'Por Fragrância'!$D$5:$D$192,$F53,'Por Fragrância'!$E$5:$E$192,$G53)</f>
        <v>0</v>
      </c>
      <c r="K53" s="18" t="n">
        <f aca="false">IF($B$6=0,0,J53/$B$6)</f>
        <v>0</v>
      </c>
      <c r="L53" s="16" t="n">
        <f aca="false">ROUNDUP(K53*$B$7,0)</f>
        <v>0</v>
      </c>
      <c r="M53" s="17" t="n">
        <f aca="false">I53+L53</f>
        <v>100</v>
      </c>
    </row>
    <row r="54" customFormat="false" ht="15" hidden="false" customHeight="false" outlineLevel="0" collapsed="false">
      <c r="A54" s="4" t="s">
        <v>148</v>
      </c>
      <c r="B54" s="4" t="s">
        <v>69</v>
      </c>
      <c r="C54" s="4" t="s">
        <v>29</v>
      </c>
      <c r="D54" s="4" t="n">
        <v>15</v>
      </c>
      <c r="E54" s="4" t="s">
        <v>15</v>
      </c>
      <c r="F54" s="4" t="s">
        <v>16</v>
      </c>
      <c r="G54" s="4" t="s">
        <v>17</v>
      </c>
      <c r="H54" s="4" t="s">
        <v>36</v>
      </c>
      <c r="I54" s="16" t="n">
        <f aca="false">SUMIFS('Por Fragrância'!$H$5:$H$192,'Por Fragrância'!$A$5:$A$192,$B54,'Por Fragrância'!$B$5:$B$192,$C54,'Por Fragrância'!$C$5:$C$192,$D54,'Por Fragrância'!$D$5:$D$192,$F54,'Por Fragrância'!$E$5:$E$192,$G54)</f>
        <v>100</v>
      </c>
      <c r="J54" s="16" t="n">
        <f aca="false">SUMIFS('Por Fragrância'!$I$5:$I$192,'Por Fragrância'!$A$5:$A$192,$B54,'Por Fragrância'!$B$5:$B$192,$C54,'Por Fragrância'!$C$5:$C$192,$D54,'Por Fragrância'!$D$5:$D$192,$F54,'Por Fragrância'!$E$5:$E$192,$G54)</f>
        <v>0</v>
      </c>
      <c r="K54" s="18" t="n">
        <f aca="false">IF($B$6=0,0,J54/$B$6)</f>
        <v>0</v>
      </c>
      <c r="L54" s="16" t="n">
        <f aca="false">ROUNDUP(K54*$B$7,0)</f>
        <v>0</v>
      </c>
      <c r="M54" s="17" t="n">
        <f aca="false">I54+L54</f>
        <v>100</v>
      </c>
    </row>
    <row r="55" customFormat="false" ht="15" hidden="false" customHeight="false" outlineLevel="0" collapsed="false">
      <c r="A55" s="4" t="s">
        <v>149</v>
      </c>
      <c r="B55" s="4" t="s">
        <v>70</v>
      </c>
      <c r="C55" s="4" t="s">
        <v>12</v>
      </c>
      <c r="D55" s="4" t="n">
        <v>15</v>
      </c>
      <c r="E55" s="4" t="s">
        <v>15</v>
      </c>
      <c r="F55" s="4" t="s">
        <v>16</v>
      </c>
      <c r="G55" s="4" t="s">
        <v>17</v>
      </c>
      <c r="H55" s="4" t="s">
        <v>14</v>
      </c>
      <c r="I55" s="16" t="n">
        <f aca="false">SUMIFS('Por Fragrância'!$H$5:$H$192,'Por Fragrância'!$A$5:$A$192,$B55,'Por Fragrância'!$B$5:$B$192,$C55,'Por Fragrância'!$C$5:$C$192,$D55,'Por Fragrância'!$D$5:$D$192,$F55,'Por Fragrância'!$E$5:$E$192,$G55)</f>
        <v>200</v>
      </c>
      <c r="J55" s="16" t="n">
        <f aca="false">SUMIFS('Por Fragrância'!$I$5:$I$192,'Por Fragrância'!$A$5:$A$192,$B55,'Por Fragrância'!$B$5:$B$192,$C55,'Por Fragrância'!$C$5:$C$192,$D55,'Por Fragrância'!$D$5:$D$192,$F55,'Por Fragrância'!$E$5:$E$192,$G55)</f>
        <v>0</v>
      </c>
      <c r="K55" s="18" t="n">
        <f aca="false">IF($B$6=0,0,J55/$B$6)</f>
        <v>0</v>
      </c>
      <c r="L55" s="16" t="n">
        <f aca="false">ROUNDUP(K55*$B$7,0)</f>
        <v>0</v>
      </c>
      <c r="M55" s="17" t="n">
        <f aca="false">I55+L55</f>
        <v>200</v>
      </c>
    </row>
    <row r="56" customFormat="false" ht="15" hidden="false" customHeight="false" outlineLevel="0" collapsed="false">
      <c r="A56" s="4" t="s">
        <v>150</v>
      </c>
      <c r="B56" s="4" t="s">
        <v>73</v>
      </c>
      <c r="C56" s="4" t="s">
        <v>12</v>
      </c>
      <c r="D56" s="4" t="n">
        <v>15</v>
      </c>
      <c r="E56" s="4" t="s">
        <v>15</v>
      </c>
      <c r="F56" s="4" t="s">
        <v>16</v>
      </c>
      <c r="G56" s="4" t="s">
        <v>17</v>
      </c>
      <c r="H56" s="4" t="s">
        <v>14</v>
      </c>
      <c r="I56" s="16" t="n">
        <f aca="false">SUMIFS('Por Fragrância'!$H$5:$H$192,'Por Fragrância'!$A$5:$A$192,$B56,'Por Fragrância'!$B$5:$B$192,$C56,'Por Fragrância'!$C$5:$C$192,$D56,'Por Fragrância'!$D$5:$D$192,$F56,'Por Fragrância'!$E$5:$E$192,$G56)</f>
        <v>100</v>
      </c>
      <c r="J56" s="16" t="n">
        <f aca="false">SUMIFS('Por Fragrância'!$I$5:$I$192,'Por Fragrância'!$A$5:$A$192,$B56,'Por Fragrância'!$B$5:$B$192,$C56,'Por Fragrância'!$C$5:$C$192,$D56,'Por Fragrância'!$D$5:$D$192,$F56,'Por Fragrância'!$E$5:$E$192,$G56)</f>
        <v>0</v>
      </c>
      <c r="K56" s="18" t="n">
        <f aca="false">IF($B$6=0,0,J56/$B$6)</f>
        <v>0</v>
      </c>
      <c r="L56" s="16" t="n">
        <f aca="false">ROUNDUP(K56*$B$7,0)</f>
        <v>0</v>
      </c>
      <c r="M56" s="17" t="n">
        <f aca="false">I56+L56</f>
        <v>100</v>
      </c>
    </row>
    <row r="57" customFormat="false" ht="15" hidden="false" customHeight="false" outlineLevel="0" collapsed="false">
      <c r="A57" s="4" t="s">
        <v>151</v>
      </c>
      <c r="B57" s="4" t="s">
        <v>73</v>
      </c>
      <c r="C57" s="4" t="s">
        <v>29</v>
      </c>
      <c r="D57" s="4" t="n">
        <v>15</v>
      </c>
      <c r="E57" s="4" t="s">
        <v>15</v>
      </c>
      <c r="F57" s="4" t="s">
        <v>16</v>
      </c>
      <c r="G57" s="4" t="s">
        <v>17</v>
      </c>
      <c r="H57" s="4" t="s">
        <v>36</v>
      </c>
      <c r="I57" s="16" t="n">
        <f aca="false">SUMIFS('Por Fragrância'!$H$5:$H$192,'Por Fragrância'!$A$5:$A$192,$B57,'Por Fragrância'!$B$5:$B$192,$C57,'Por Fragrância'!$C$5:$C$192,$D57,'Por Fragrância'!$D$5:$D$192,$F57,'Por Fragrância'!$E$5:$E$192,$G57)</f>
        <v>100</v>
      </c>
      <c r="J57" s="16" t="n">
        <f aca="false">SUMIFS('Por Fragrância'!$I$5:$I$192,'Por Fragrância'!$A$5:$A$192,$B57,'Por Fragrância'!$B$5:$B$192,$C57,'Por Fragrância'!$C$5:$C$192,$D57,'Por Fragrância'!$D$5:$D$192,$F57,'Por Fragrância'!$E$5:$E$192,$G57)</f>
        <v>0</v>
      </c>
      <c r="K57" s="18" t="n">
        <f aca="false">IF($B$6=0,0,J57/$B$6)</f>
        <v>0</v>
      </c>
      <c r="L57" s="16" t="n">
        <f aca="false">ROUNDUP(K57*$B$7,0)</f>
        <v>0</v>
      </c>
      <c r="M57" s="17" t="n">
        <f aca="false">I57+L57</f>
        <v>100</v>
      </c>
    </row>
    <row r="58" customFormat="false" ht="15" hidden="false" customHeight="false" outlineLevel="0" collapsed="false">
      <c r="A58" s="4" t="s">
        <v>152</v>
      </c>
      <c r="B58" s="4" t="s">
        <v>78</v>
      </c>
      <c r="C58" s="4" t="s">
        <v>12</v>
      </c>
      <c r="D58" s="4" t="n">
        <v>15</v>
      </c>
      <c r="E58" s="4" t="s">
        <v>15</v>
      </c>
      <c r="F58" s="4" t="s">
        <v>16</v>
      </c>
      <c r="G58" s="4" t="s">
        <v>17</v>
      </c>
      <c r="H58" s="4" t="s">
        <v>14</v>
      </c>
      <c r="I58" s="16" t="n">
        <f aca="false">SUMIFS('Por Fragrância'!$H$5:$H$192,'Por Fragrância'!$A$5:$A$192,$B58,'Por Fragrância'!$B$5:$B$192,$C58,'Por Fragrância'!$C$5:$C$192,$D58,'Por Fragrância'!$D$5:$D$192,$F58,'Por Fragrância'!$E$5:$E$192,$G58)</f>
        <v>200</v>
      </c>
      <c r="J58" s="16" t="n">
        <f aca="false">SUMIFS('Por Fragrância'!$I$5:$I$192,'Por Fragrância'!$A$5:$A$192,$B58,'Por Fragrância'!$B$5:$B$192,$C58,'Por Fragrância'!$C$5:$C$192,$D58,'Por Fragrância'!$D$5:$D$192,$F58,'Por Fragrância'!$E$5:$E$192,$G58)</f>
        <v>0</v>
      </c>
      <c r="K58" s="18" t="n">
        <f aca="false">IF($B$6=0,0,J58/$B$6)</f>
        <v>0</v>
      </c>
      <c r="L58" s="16" t="n">
        <f aca="false">ROUNDUP(K58*$B$7,0)</f>
        <v>0</v>
      </c>
      <c r="M58" s="17" t="n">
        <f aca="false">I58+L58</f>
        <v>200</v>
      </c>
    </row>
    <row r="59" customFormat="false" ht="15" hidden="false" customHeight="false" outlineLevel="0" collapsed="false">
      <c r="A59" s="4" t="s">
        <v>153</v>
      </c>
      <c r="B59" s="4" t="s">
        <v>81</v>
      </c>
      <c r="C59" s="4" t="s">
        <v>12</v>
      </c>
      <c r="D59" s="4" t="n">
        <v>15</v>
      </c>
      <c r="E59" s="4" t="s">
        <v>15</v>
      </c>
      <c r="F59" s="4" t="s">
        <v>16</v>
      </c>
      <c r="G59" s="4" t="s">
        <v>17</v>
      </c>
      <c r="H59" s="4" t="s">
        <v>14</v>
      </c>
      <c r="I59" s="16" t="n">
        <f aca="false">SUMIFS('Por Fragrância'!$H$5:$H$192,'Por Fragrância'!$A$5:$A$192,$B59,'Por Fragrância'!$B$5:$B$192,$C59,'Por Fragrância'!$C$5:$C$192,$D59,'Por Fragrância'!$D$5:$D$192,$F59,'Por Fragrância'!$E$5:$E$192,$G59)</f>
        <v>200</v>
      </c>
      <c r="J59" s="16" t="n">
        <f aca="false">SUMIFS('Por Fragrância'!$I$5:$I$192,'Por Fragrância'!$A$5:$A$192,$B59,'Por Fragrância'!$B$5:$B$192,$C59,'Por Fragrância'!$C$5:$C$192,$D59,'Por Fragrância'!$D$5:$D$192,$F59,'Por Fragrância'!$E$5:$E$192,$G59)</f>
        <v>0</v>
      </c>
      <c r="K59" s="18" t="n">
        <f aca="false">IF($B$6=0,0,J59/$B$6)</f>
        <v>0</v>
      </c>
      <c r="L59" s="16" t="n">
        <f aca="false">ROUNDUP(K59*$B$7,0)</f>
        <v>0</v>
      </c>
      <c r="M59" s="17" t="n">
        <f aca="false">I59+L59</f>
        <v>200</v>
      </c>
    </row>
    <row r="60" customFormat="false" ht="15" hidden="false" customHeight="false" outlineLevel="0" collapsed="false">
      <c r="A60" s="4" t="s">
        <v>154</v>
      </c>
      <c r="B60" s="4" t="s">
        <v>85</v>
      </c>
      <c r="C60" s="4" t="s">
        <v>12</v>
      </c>
      <c r="D60" s="4" t="n">
        <v>15</v>
      </c>
      <c r="E60" s="4" t="s">
        <v>15</v>
      </c>
      <c r="F60" s="4" t="s">
        <v>16</v>
      </c>
      <c r="G60" s="4" t="s">
        <v>17</v>
      </c>
      <c r="H60" s="4" t="s">
        <v>14</v>
      </c>
      <c r="I60" s="16" t="n">
        <f aca="false">SUMIFS('Por Fragrância'!$H$5:$H$192,'Por Fragrância'!$A$5:$A$192,$B60,'Por Fragrância'!$B$5:$B$192,$C60,'Por Fragrância'!$C$5:$C$192,$D60,'Por Fragrância'!$D$5:$D$192,$F60,'Por Fragrância'!$E$5:$E$192,$G60)</f>
        <v>200</v>
      </c>
      <c r="J60" s="16" t="n">
        <f aca="false">SUMIFS('Por Fragrância'!$I$5:$I$192,'Por Fragrância'!$A$5:$A$192,$B60,'Por Fragrância'!$B$5:$B$192,$C60,'Por Fragrância'!$C$5:$C$192,$D60,'Por Fragrância'!$D$5:$D$192,$F60,'Por Fragrância'!$E$5:$E$192,$G60)</f>
        <v>0</v>
      </c>
      <c r="K60" s="18" t="n">
        <f aca="false">IF($B$6=0,0,J60/$B$6)</f>
        <v>0</v>
      </c>
      <c r="L60" s="16" t="n">
        <f aca="false">ROUNDUP(K60*$B$7,0)</f>
        <v>0</v>
      </c>
      <c r="M60" s="17" t="n">
        <f aca="false">I60+L60</f>
        <v>200</v>
      </c>
    </row>
    <row r="61" customFormat="false" ht="15" hidden="false" customHeight="false" outlineLevel="0" collapsed="false">
      <c r="A61" s="4" t="s">
        <v>155</v>
      </c>
      <c r="B61" s="4" t="s">
        <v>88</v>
      </c>
      <c r="C61" s="4" t="s">
        <v>12</v>
      </c>
      <c r="D61" s="4" t="n">
        <v>15</v>
      </c>
      <c r="E61" s="4" t="s">
        <v>15</v>
      </c>
      <c r="F61" s="4" t="s">
        <v>16</v>
      </c>
      <c r="G61" s="4" t="s">
        <v>17</v>
      </c>
      <c r="H61" s="4" t="s">
        <v>14</v>
      </c>
      <c r="I61" s="16" t="n">
        <f aca="false">SUMIFS('Por Fragrância'!$H$5:$H$192,'Por Fragrância'!$A$5:$A$192,$B61,'Por Fragrância'!$B$5:$B$192,$C61,'Por Fragrância'!$C$5:$C$192,$D61,'Por Fragrância'!$D$5:$D$192,$F61,'Por Fragrância'!$E$5:$E$192,$G61)</f>
        <v>200</v>
      </c>
      <c r="J61" s="16" t="n">
        <f aca="false">SUMIFS('Por Fragrância'!$I$5:$I$192,'Por Fragrância'!$A$5:$A$192,$B61,'Por Fragrância'!$B$5:$B$192,$C61,'Por Fragrância'!$C$5:$C$192,$D61,'Por Fragrância'!$D$5:$D$192,$F61,'Por Fragrância'!$E$5:$E$192,$G61)</f>
        <v>0</v>
      </c>
      <c r="K61" s="18" t="n">
        <f aca="false">IF($B$6=0,0,J61/$B$6)</f>
        <v>0</v>
      </c>
      <c r="L61" s="16" t="n">
        <f aca="false">ROUNDUP(K61*$B$7,0)</f>
        <v>0</v>
      </c>
      <c r="M61" s="17" t="n">
        <f aca="false">I61+L61</f>
        <v>200</v>
      </c>
    </row>
    <row r="62" customFormat="false" ht="15" hidden="false" customHeight="false" outlineLevel="0" collapsed="false">
      <c r="A62" s="4" t="s">
        <v>156</v>
      </c>
      <c r="B62" s="4" t="s">
        <v>89</v>
      </c>
      <c r="C62" s="4" t="s">
        <v>12</v>
      </c>
      <c r="D62" s="4" t="n">
        <v>15</v>
      </c>
      <c r="E62" s="4" t="s">
        <v>15</v>
      </c>
      <c r="F62" s="4" t="s">
        <v>16</v>
      </c>
      <c r="G62" s="4" t="s">
        <v>17</v>
      </c>
      <c r="H62" s="4" t="s">
        <v>14</v>
      </c>
      <c r="I62" s="16" t="n">
        <f aca="false">SUMIFS('Por Fragrância'!$H$5:$H$192,'Por Fragrância'!$A$5:$A$192,$B62,'Por Fragrância'!$B$5:$B$192,$C62,'Por Fragrância'!$C$5:$C$192,$D62,'Por Fragrância'!$D$5:$D$192,$F62,'Por Fragrância'!$E$5:$E$192,$G62)</f>
        <v>200</v>
      </c>
      <c r="J62" s="16" t="n">
        <f aca="false">SUMIFS('Por Fragrância'!$I$5:$I$192,'Por Fragrância'!$A$5:$A$192,$B62,'Por Fragrância'!$B$5:$B$192,$C62,'Por Fragrância'!$C$5:$C$192,$D62,'Por Fragrância'!$D$5:$D$192,$F62,'Por Fragrância'!$E$5:$E$192,$G62)</f>
        <v>0</v>
      </c>
      <c r="K62" s="18" t="n">
        <f aca="false">IF($B$6=0,0,J62/$B$6)</f>
        <v>0</v>
      </c>
      <c r="L62" s="16" t="n">
        <f aca="false">ROUNDUP(K62*$B$7,0)</f>
        <v>0</v>
      </c>
      <c r="M62" s="17" t="n">
        <f aca="false">I62+L62</f>
        <v>200</v>
      </c>
    </row>
    <row r="63" customFormat="false" ht="15" hidden="false" customHeight="false" outlineLevel="0" collapsed="false">
      <c r="A63" s="4" t="s">
        <v>157</v>
      </c>
      <c r="B63" s="4" t="s">
        <v>91</v>
      </c>
      <c r="C63" s="4" t="s">
        <v>12</v>
      </c>
      <c r="D63" s="4" t="n">
        <v>15</v>
      </c>
      <c r="E63" s="4" t="s">
        <v>15</v>
      </c>
      <c r="F63" s="4" t="s">
        <v>16</v>
      </c>
      <c r="G63" s="4" t="s">
        <v>17</v>
      </c>
      <c r="H63" s="4" t="s">
        <v>14</v>
      </c>
      <c r="I63" s="16" t="n">
        <f aca="false">SUMIFS('Por Fragrância'!$H$5:$H$192,'Por Fragrância'!$A$5:$A$192,$B63,'Por Fragrância'!$B$5:$B$192,$C63,'Por Fragrância'!$C$5:$C$192,$D63,'Por Fragrância'!$D$5:$D$192,$F63,'Por Fragrância'!$E$5:$E$192,$G63)</f>
        <v>200</v>
      </c>
      <c r="J63" s="16" t="n">
        <f aca="false">SUMIFS('Por Fragrância'!$I$5:$I$192,'Por Fragrância'!$A$5:$A$192,$B63,'Por Fragrância'!$B$5:$B$192,$C63,'Por Fragrância'!$C$5:$C$192,$D63,'Por Fragrância'!$D$5:$D$192,$F63,'Por Fragrância'!$E$5:$E$192,$G63)</f>
        <v>0</v>
      </c>
      <c r="K63" s="18" t="n">
        <f aca="false">IF($B$6=0,0,J63/$B$6)</f>
        <v>0</v>
      </c>
      <c r="L63" s="16" t="n">
        <f aca="false">ROUNDUP(K63*$B$7,0)</f>
        <v>0</v>
      </c>
      <c r="M63" s="17" t="n">
        <f aca="false">I63+L63</f>
        <v>200</v>
      </c>
    </row>
    <row r="64" customFormat="false" ht="15" hidden="false" customHeight="false" outlineLevel="0" collapsed="false">
      <c r="A64" s="4" t="s">
        <v>158</v>
      </c>
      <c r="B64" s="4" t="s">
        <v>28</v>
      </c>
      <c r="C64" s="4" t="s">
        <v>29</v>
      </c>
      <c r="D64" s="4" t="n">
        <v>100</v>
      </c>
      <c r="E64" s="4" t="s">
        <v>15</v>
      </c>
      <c r="F64" s="4" t="s">
        <v>24</v>
      </c>
      <c r="G64" s="4" t="s">
        <v>34</v>
      </c>
      <c r="H64" s="4" t="s">
        <v>36</v>
      </c>
      <c r="I64" s="16" t="n">
        <f aca="false">SUMIFS('Por Fragrância'!$H$5:$H$192,'Por Fragrância'!$A$5:$A$192,$B64,'Por Fragrância'!$B$5:$B$192,$C64,'Por Fragrância'!$C$5:$C$192,$D64,'Por Fragrância'!$D$5:$D$192,$F64,'Por Fragrância'!$E$5:$E$192,$G64)</f>
        <v>30</v>
      </c>
      <c r="J64" s="16" t="n">
        <f aca="false">SUMIFS('Por Fragrância'!$I$5:$I$192,'Por Fragrância'!$A$5:$A$192,$B64,'Por Fragrância'!$B$5:$B$192,$C64,'Por Fragrância'!$C$5:$C$192,$D64,'Por Fragrância'!$D$5:$D$192,$F64,'Por Fragrância'!$E$5:$E$192,$G64)</f>
        <v>0</v>
      </c>
      <c r="K64" s="18" t="n">
        <f aca="false">IF($B$6=0,0,J64/$B$6)</f>
        <v>0</v>
      </c>
      <c r="L64" s="16" t="n">
        <f aca="false">ROUNDUP(K64*$B$7,0)</f>
        <v>0</v>
      </c>
      <c r="M64" s="17" t="n">
        <f aca="false">I64+L64</f>
        <v>30</v>
      </c>
    </row>
    <row r="65" customFormat="false" ht="15" hidden="false" customHeight="false" outlineLevel="0" collapsed="false">
      <c r="A65" s="4" t="s">
        <v>159</v>
      </c>
      <c r="B65" s="4" t="s">
        <v>28</v>
      </c>
      <c r="C65" s="4" t="s">
        <v>33</v>
      </c>
      <c r="D65" s="4" t="n">
        <v>100</v>
      </c>
      <c r="E65" s="4" t="s">
        <v>30</v>
      </c>
      <c r="F65" s="4" t="s">
        <v>24</v>
      </c>
      <c r="G65" s="4" t="s">
        <v>34</v>
      </c>
      <c r="H65" s="4" t="s">
        <v>33</v>
      </c>
      <c r="I65" s="16" t="n">
        <f aca="false">SUMIFS('Por Fragrância'!$H$5:$H$192,'Por Fragrância'!$A$5:$A$192,$B65,'Por Fragrância'!$B$5:$B$192,$C65,'Por Fragrância'!$C$5:$C$192,$D65,'Por Fragrância'!$D$5:$D$192,$F65,'Por Fragrância'!$E$5:$E$192,$G65)</f>
        <v>0</v>
      </c>
      <c r="J65" s="16" t="n">
        <f aca="false">SUMIFS('Por Fragrância'!$I$5:$I$192,'Por Fragrância'!$A$5:$A$192,$B65,'Por Fragrância'!$B$5:$B$192,$C65,'Por Fragrância'!$C$5:$C$192,$D65,'Por Fragrância'!$D$5:$D$192,$F65,'Por Fragrância'!$E$5:$E$192,$G65)</f>
        <v>19</v>
      </c>
      <c r="K65" s="18" t="n">
        <f aca="false">IF($B$6=0,0,J65/$B$6)</f>
        <v>2.09533514492754</v>
      </c>
      <c r="L65" s="16" t="n">
        <f aca="false">ROUNDUP(K65*$B$7,0)</f>
        <v>26</v>
      </c>
      <c r="M65" s="17" t="n">
        <f aca="false">I65+L65</f>
        <v>26</v>
      </c>
    </row>
    <row r="66" customFormat="false" ht="15" hidden="false" customHeight="false" outlineLevel="0" collapsed="false">
      <c r="A66" s="4" t="s">
        <v>160</v>
      </c>
      <c r="B66" s="4" t="s">
        <v>38</v>
      </c>
      <c r="C66" s="4" t="s">
        <v>29</v>
      </c>
      <c r="D66" s="4" t="n">
        <v>100</v>
      </c>
      <c r="E66" s="4" t="s">
        <v>15</v>
      </c>
      <c r="F66" s="4" t="s">
        <v>24</v>
      </c>
      <c r="G66" s="4" t="s">
        <v>34</v>
      </c>
      <c r="H66" s="4" t="s">
        <v>36</v>
      </c>
      <c r="I66" s="16" t="n">
        <f aca="false">SUMIFS('Por Fragrância'!$H$5:$H$192,'Por Fragrância'!$A$5:$A$192,$B66,'Por Fragrância'!$B$5:$B$192,$C66,'Por Fragrância'!$C$5:$C$192,$D66,'Por Fragrância'!$D$5:$D$192,$F66,'Por Fragrância'!$E$5:$E$192,$G66)</f>
        <v>30</v>
      </c>
      <c r="J66" s="16" t="n">
        <f aca="false">SUMIFS('Por Fragrância'!$I$5:$I$192,'Por Fragrância'!$A$5:$A$192,$B66,'Por Fragrância'!$B$5:$B$192,$C66,'Por Fragrância'!$C$5:$C$192,$D66,'Por Fragrância'!$D$5:$D$192,$F66,'Por Fragrância'!$E$5:$E$192,$G66)</f>
        <v>0</v>
      </c>
      <c r="K66" s="18" t="n">
        <f aca="false">IF($B$6=0,0,J66/$B$6)</f>
        <v>0</v>
      </c>
      <c r="L66" s="16" t="n">
        <f aca="false">ROUNDUP(K66*$B$7,0)</f>
        <v>0</v>
      </c>
      <c r="M66" s="17" t="n">
        <f aca="false">I66+L66</f>
        <v>30</v>
      </c>
    </row>
    <row r="67" customFormat="false" ht="15" hidden="false" customHeight="false" outlineLevel="0" collapsed="false">
      <c r="A67" s="4" t="s">
        <v>161</v>
      </c>
      <c r="B67" s="4" t="s">
        <v>38</v>
      </c>
      <c r="C67" s="4" t="s">
        <v>33</v>
      </c>
      <c r="D67" s="4" t="n">
        <v>100</v>
      </c>
      <c r="E67" s="4" t="s">
        <v>30</v>
      </c>
      <c r="F67" s="4" t="s">
        <v>24</v>
      </c>
      <c r="G67" s="4" t="s">
        <v>34</v>
      </c>
      <c r="H67" s="4" t="s">
        <v>33</v>
      </c>
      <c r="I67" s="16" t="n">
        <f aca="false">SUMIFS('Por Fragrância'!$H$5:$H$192,'Por Fragrância'!$A$5:$A$192,$B67,'Por Fragrância'!$B$5:$B$192,$C67,'Por Fragrância'!$C$5:$C$192,$D67,'Por Fragrância'!$D$5:$D$192,$F67,'Por Fragrância'!$E$5:$E$192,$G67)</f>
        <v>0</v>
      </c>
      <c r="J67" s="16" t="n">
        <f aca="false">SUMIFS('Por Fragrância'!$I$5:$I$192,'Por Fragrância'!$A$5:$A$192,$B67,'Por Fragrância'!$B$5:$B$192,$C67,'Por Fragrância'!$C$5:$C$192,$D67,'Por Fragrância'!$D$5:$D$192,$F67,'Por Fragrância'!$E$5:$E$192,$G67)</f>
        <v>37</v>
      </c>
      <c r="K67" s="18" t="n">
        <f aca="false">IF($B$6=0,0,J67/$B$6)</f>
        <v>4.08038949275362</v>
      </c>
      <c r="L67" s="16" t="n">
        <f aca="false">ROUNDUP(K67*$B$7,0)</f>
        <v>49</v>
      </c>
      <c r="M67" s="17" t="n">
        <f aca="false">I67+L67</f>
        <v>49</v>
      </c>
    </row>
    <row r="68" customFormat="false" ht="15" hidden="false" customHeight="false" outlineLevel="0" collapsed="false">
      <c r="A68" s="4" t="s">
        <v>162</v>
      </c>
      <c r="B68" s="4" t="s">
        <v>39</v>
      </c>
      <c r="C68" s="4" t="s">
        <v>33</v>
      </c>
      <c r="D68" s="4" t="n">
        <v>100</v>
      </c>
      <c r="E68" s="4" t="s">
        <v>30</v>
      </c>
      <c r="F68" s="4" t="s">
        <v>24</v>
      </c>
      <c r="G68" s="4" t="s">
        <v>34</v>
      </c>
      <c r="H68" s="4" t="s">
        <v>33</v>
      </c>
      <c r="I68" s="16" t="n">
        <f aca="false">SUMIFS('Por Fragrância'!$H$5:$H$192,'Por Fragrância'!$A$5:$A$192,$B68,'Por Fragrância'!$B$5:$B$192,$C68,'Por Fragrância'!$C$5:$C$192,$D68,'Por Fragrância'!$D$5:$D$192,$F68,'Por Fragrância'!$E$5:$E$192,$G68)</f>
        <v>0</v>
      </c>
      <c r="J68" s="16" t="n">
        <f aca="false">SUMIFS('Por Fragrância'!$I$5:$I$192,'Por Fragrância'!$A$5:$A$192,$B68,'Por Fragrância'!$B$5:$B$192,$C68,'Por Fragrância'!$C$5:$C$192,$D68,'Por Fragrância'!$D$5:$D$192,$F68,'Por Fragrância'!$E$5:$E$192,$G68)</f>
        <v>8</v>
      </c>
      <c r="K68" s="18" t="n">
        <f aca="false">IF($B$6=0,0,J68/$B$6)</f>
        <v>0.882246376811594</v>
      </c>
      <c r="L68" s="16" t="n">
        <f aca="false">ROUNDUP(K68*$B$7,0)</f>
        <v>11</v>
      </c>
      <c r="M68" s="17" t="n">
        <f aca="false">I68+L68</f>
        <v>11</v>
      </c>
    </row>
    <row r="69" customFormat="false" ht="15" hidden="false" customHeight="false" outlineLevel="0" collapsed="false">
      <c r="A69" s="4" t="s">
        <v>163</v>
      </c>
      <c r="B69" s="4" t="s">
        <v>41</v>
      </c>
      <c r="C69" s="4" t="s">
        <v>29</v>
      </c>
      <c r="D69" s="4" t="n">
        <v>100</v>
      </c>
      <c r="E69" s="4" t="s">
        <v>15</v>
      </c>
      <c r="F69" s="4" t="s">
        <v>24</v>
      </c>
      <c r="G69" s="4" t="s">
        <v>34</v>
      </c>
      <c r="H69" s="4" t="s">
        <v>36</v>
      </c>
      <c r="I69" s="16" t="n">
        <f aca="false">SUMIFS('Por Fragrância'!$H$5:$H$192,'Por Fragrância'!$A$5:$A$192,$B69,'Por Fragrância'!$B$5:$B$192,$C69,'Por Fragrância'!$C$5:$C$192,$D69,'Por Fragrância'!$D$5:$D$192,$F69,'Por Fragrância'!$E$5:$E$192,$G69)</f>
        <v>30</v>
      </c>
      <c r="J69" s="16" t="n">
        <f aca="false">SUMIFS('Por Fragrância'!$I$5:$I$192,'Por Fragrância'!$A$5:$A$192,$B69,'Por Fragrância'!$B$5:$B$192,$C69,'Por Fragrância'!$C$5:$C$192,$D69,'Por Fragrância'!$D$5:$D$192,$F69,'Por Fragrância'!$E$5:$E$192,$G69)</f>
        <v>0</v>
      </c>
      <c r="K69" s="18" t="n">
        <f aca="false">IF($B$6=0,0,J69/$B$6)</f>
        <v>0</v>
      </c>
      <c r="L69" s="16" t="n">
        <f aca="false">ROUNDUP(K69*$B$7,0)</f>
        <v>0</v>
      </c>
      <c r="M69" s="17" t="n">
        <f aca="false">I69+L69</f>
        <v>30</v>
      </c>
    </row>
    <row r="70" customFormat="false" ht="15" hidden="false" customHeight="false" outlineLevel="0" collapsed="false">
      <c r="A70" s="4" t="s">
        <v>164</v>
      </c>
      <c r="B70" s="4" t="s">
        <v>41</v>
      </c>
      <c r="C70" s="4" t="s">
        <v>33</v>
      </c>
      <c r="D70" s="4" t="n">
        <v>100</v>
      </c>
      <c r="E70" s="4" t="s">
        <v>30</v>
      </c>
      <c r="F70" s="4" t="s">
        <v>24</v>
      </c>
      <c r="G70" s="4" t="s">
        <v>34</v>
      </c>
      <c r="H70" s="4" t="s">
        <v>33</v>
      </c>
      <c r="I70" s="16" t="n">
        <f aca="false">SUMIFS('Por Fragrância'!$H$5:$H$192,'Por Fragrância'!$A$5:$A$192,$B70,'Por Fragrância'!$B$5:$B$192,$C70,'Por Fragrância'!$C$5:$C$192,$D70,'Por Fragrância'!$D$5:$D$192,$F70,'Por Fragrância'!$E$5:$E$192,$G70)</f>
        <v>0</v>
      </c>
      <c r="J70" s="16" t="n">
        <f aca="false">SUMIFS('Por Fragrância'!$I$5:$I$192,'Por Fragrância'!$A$5:$A$192,$B70,'Por Fragrância'!$B$5:$B$192,$C70,'Por Fragrância'!$C$5:$C$192,$D70,'Por Fragrância'!$D$5:$D$192,$F70,'Por Fragrância'!$E$5:$E$192,$G70)</f>
        <v>45</v>
      </c>
      <c r="K70" s="18" t="n">
        <f aca="false">IF($B$6=0,0,J70/$B$6)</f>
        <v>4.96263586956522</v>
      </c>
      <c r="L70" s="16" t="n">
        <f aca="false">ROUNDUP(K70*$B$7,0)</f>
        <v>60</v>
      </c>
      <c r="M70" s="17" t="n">
        <f aca="false">I70+L70</f>
        <v>60</v>
      </c>
    </row>
    <row r="71" customFormat="false" ht="15" hidden="false" customHeight="false" outlineLevel="0" collapsed="false">
      <c r="A71" s="4" t="s">
        <v>165</v>
      </c>
      <c r="B71" s="4" t="s">
        <v>43</v>
      </c>
      <c r="C71" s="4" t="s">
        <v>29</v>
      </c>
      <c r="D71" s="4" t="n">
        <v>100</v>
      </c>
      <c r="E71" s="4" t="s">
        <v>15</v>
      </c>
      <c r="F71" s="4" t="s">
        <v>24</v>
      </c>
      <c r="G71" s="4" t="s">
        <v>34</v>
      </c>
      <c r="H71" s="4" t="s">
        <v>36</v>
      </c>
      <c r="I71" s="16" t="n">
        <f aca="false">SUMIFS('Por Fragrância'!$H$5:$H$192,'Por Fragrância'!$A$5:$A$192,$B71,'Por Fragrância'!$B$5:$B$192,$C71,'Por Fragrância'!$C$5:$C$192,$D71,'Por Fragrância'!$D$5:$D$192,$F71,'Por Fragrância'!$E$5:$E$192,$G71)</f>
        <v>30</v>
      </c>
      <c r="J71" s="16" t="n">
        <f aca="false">SUMIFS('Por Fragrância'!$I$5:$I$192,'Por Fragrância'!$A$5:$A$192,$B71,'Por Fragrância'!$B$5:$B$192,$C71,'Por Fragrância'!$C$5:$C$192,$D71,'Por Fragrância'!$D$5:$D$192,$F71,'Por Fragrância'!$E$5:$E$192,$G71)</f>
        <v>0</v>
      </c>
      <c r="K71" s="18" t="n">
        <f aca="false">IF($B$6=0,0,J71/$B$6)</f>
        <v>0</v>
      </c>
      <c r="L71" s="16" t="n">
        <f aca="false">ROUNDUP(K71*$B$7,0)</f>
        <v>0</v>
      </c>
      <c r="M71" s="17" t="n">
        <f aca="false">I71+L71</f>
        <v>30</v>
      </c>
    </row>
    <row r="72" customFormat="false" ht="15" hidden="false" customHeight="false" outlineLevel="0" collapsed="false">
      <c r="A72" s="4" t="s">
        <v>166</v>
      </c>
      <c r="B72" s="4" t="s">
        <v>43</v>
      </c>
      <c r="C72" s="4" t="s">
        <v>33</v>
      </c>
      <c r="D72" s="4" t="n">
        <v>100</v>
      </c>
      <c r="E72" s="4" t="s">
        <v>30</v>
      </c>
      <c r="F72" s="4" t="s">
        <v>24</v>
      </c>
      <c r="G72" s="4" t="s">
        <v>34</v>
      </c>
      <c r="H72" s="4" t="s">
        <v>33</v>
      </c>
      <c r="I72" s="16" t="n">
        <f aca="false">SUMIFS('Por Fragrância'!$H$5:$H$192,'Por Fragrância'!$A$5:$A$192,$B72,'Por Fragrância'!$B$5:$B$192,$C72,'Por Fragrância'!$C$5:$C$192,$D72,'Por Fragrância'!$D$5:$D$192,$F72,'Por Fragrância'!$E$5:$E$192,$G72)</f>
        <v>0</v>
      </c>
      <c r="J72" s="16" t="n">
        <f aca="false">SUMIFS('Por Fragrância'!$I$5:$I$192,'Por Fragrância'!$A$5:$A$192,$B72,'Por Fragrância'!$B$5:$B$192,$C72,'Por Fragrância'!$C$5:$C$192,$D72,'Por Fragrância'!$D$5:$D$192,$F72,'Por Fragrância'!$E$5:$E$192,$G72)</f>
        <v>15</v>
      </c>
      <c r="K72" s="18" t="n">
        <f aca="false">IF($B$6=0,0,J72/$B$6)</f>
        <v>1.65421195652174</v>
      </c>
      <c r="L72" s="16" t="n">
        <f aca="false">ROUNDUP(K72*$B$7,0)</f>
        <v>20</v>
      </c>
      <c r="M72" s="17" t="n">
        <f aca="false">I72+L72</f>
        <v>20</v>
      </c>
    </row>
    <row r="73" customFormat="false" ht="15" hidden="false" customHeight="false" outlineLevel="0" collapsed="false">
      <c r="A73" s="4" t="s">
        <v>167</v>
      </c>
      <c r="B73" s="4" t="s">
        <v>45</v>
      </c>
      <c r="C73" s="4" t="s">
        <v>33</v>
      </c>
      <c r="D73" s="4" t="n">
        <v>100</v>
      </c>
      <c r="E73" s="4" t="s">
        <v>30</v>
      </c>
      <c r="F73" s="4" t="s">
        <v>24</v>
      </c>
      <c r="G73" s="4" t="s">
        <v>34</v>
      </c>
      <c r="H73" s="4" t="s">
        <v>33</v>
      </c>
      <c r="I73" s="16" t="n">
        <f aca="false">SUMIFS('Por Fragrância'!$H$5:$H$192,'Por Fragrância'!$A$5:$A$192,$B73,'Por Fragrância'!$B$5:$B$192,$C73,'Por Fragrância'!$C$5:$C$192,$D73,'Por Fragrância'!$D$5:$D$192,$F73,'Por Fragrância'!$E$5:$E$192,$G73)</f>
        <v>0</v>
      </c>
      <c r="J73" s="16" t="n">
        <f aca="false">SUMIFS('Por Fragrância'!$I$5:$I$192,'Por Fragrância'!$A$5:$A$192,$B73,'Por Fragrância'!$B$5:$B$192,$C73,'Por Fragrância'!$C$5:$C$192,$D73,'Por Fragrância'!$D$5:$D$192,$F73,'Por Fragrância'!$E$5:$E$192,$G73)</f>
        <v>16</v>
      </c>
      <c r="K73" s="18" t="n">
        <f aca="false">IF($B$6=0,0,J73/$B$6)</f>
        <v>1.76449275362319</v>
      </c>
      <c r="L73" s="16" t="n">
        <f aca="false">ROUNDUP(K73*$B$7,0)</f>
        <v>22</v>
      </c>
      <c r="M73" s="17" t="n">
        <f aca="false">I73+L73</f>
        <v>22</v>
      </c>
    </row>
    <row r="74" customFormat="false" ht="15" hidden="false" customHeight="false" outlineLevel="0" collapsed="false">
      <c r="A74" s="4" t="s">
        <v>168</v>
      </c>
      <c r="B74" s="4" t="s">
        <v>48</v>
      </c>
      <c r="C74" s="4" t="s">
        <v>29</v>
      </c>
      <c r="D74" s="4" t="n">
        <v>100</v>
      </c>
      <c r="E74" s="4" t="s">
        <v>15</v>
      </c>
      <c r="F74" s="4" t="s">
        <v>24</v>
      </c>
      <c r="G74" s="4" t="s">
        <v>34</v>
      </c>
      <c r="H74" s="4" t="s">
        <v>36</v>
      </c>
      <c r="I74" s="16" t="n">
        <f aca="false">SUMIFS('Por Fragrância'!$H$5:$H$192,'Por Fragrância'!$A$5:$A$192,$B74,'Por Fragrância'!$B$5:$B$192,$C74,'Por Fragrância'!$C$5:$C$192,$D74,'Por Fragrância'!$D$5:$D$192,$F74,'Por Fragrância'!$E$5:$E$192,$G74)</f>
        <v>30</v>
      </c>
      <c r="J74" s="16" t="n">
        <f aca="false">SUMIFS('Por Fragrância'!$I$5:$I$192,'Por Fragrância'!$A$5:$A$192,$B74,'Por Fragrância'!$B$5:$B$192,$C74,'Por Fragrância'!$C$5:$C$192,$D74,'Por Fragrância'!$D$5:$D$192,$F74,'Por Fragrância'!$E$5:$E$192,$G74)</f>
        <v>0</v>
      </c>
      <c r="K74" s="18" t="n">
        <f aca="false">IF($B$6=0,0,J74/$B$6)</f>
        <v>0</v>
      </c>
      <c r="L74" s="16" t="n">
        <f aca="false">ROUNDUP(K74*$B$7,0)</f>
        <v>0</v>
      </c>
      <c r="M74" s="17" t="n">
        <f aca="false">I74+L74</f>
        <v>30</v>
      </c>
    </row>
    <row r="75" customFormat="false" ht="15" hidden="false" customHeight="false" outlineLevel="0" collapsed="false">
      <c r="A75" s="4" t="s">
        <v>169</v>
      </c>
      <c r="B75" s="4" t="s">
        <v>48</v>
      </c>
      <c r="C75" s="4" t="s">
        <v>33</v>
      </c>
      <c r="D75" s="4" t="n">
        <v>100</v>
      </c>
      <c r="E75" s="4" t="s">
        <v>30</v>
      </c>
      <c r="F75" s="4" t="s">
        <v>24</v>
      </c>
      <c r="G75" s="4" t="s">
        <v>34</v>
      </c>
      <c r="H75" s="4" t="s">
        <v>33</v>
      </c>
      <c r="I75" s="16" t="n">
        <f aca="false">SUMIFS('Por Fragrância'!$H$5:$H$192,'Por Fragrância'!$A$5:$A$192,$B75,'Por Fragrância'!$B$5:$B$192,$C75,'Por Fragrância'!$C$5:$C$192,$D75,'Por Fragrância'!$D$5:$D$192,$F75,'Por Fragrância'!$E$5:$E$192,$G75)</f>
        <v>0</v>
      </c>
      <c r="J75" s="16" t="n">
        <f aca="false">SUMIFS('Por Fragrância'!$I$5:$I$192,'Por Fragrância'!$A$5:$A$192,$B75,'Por Fragrância'!$B$5:$B$192,$C75,'Por Fragrância'!$C$5:$C$192,$D75,'Por Fragrância'!$D$5:$D$192,$F75,'Por Fragrância'!$E$5:$E$192,$G75)</f>
        <v>3</v>
      </c>
      <c r="K75" s="18" t="n">
        <f aca="false">IF($B$6=0,0,J75/$B$6)</f>
        <v>0.330842391304348</v>
      </c>
      <c r="L75" s="16" t="n">
        <f aca="false">ROUNDUP(K75*$B$7,0)</f>
        <v>4</v>
      </c>
      <c r="M75" s="17" t="n">
        <f aca="false">I75+L75</f>
        <v>4</v>
      </c>
    </row>
    <row r="76" customFormat="false" ht="15" hidden="false" customHeight="false" outlineLevel="0" collapsed="false">
      <c r="A76" s="4" t="s">
        <v>170</v>
      </c>
      <c r="B76" s="4" t="s">
        <v>54</v>
      </c>
      <c r="C76" s="4" t="s">
        <v>33</v>
      </c>
      <c r="D76" s="4" t="n">
        <v>100</v>
      </c>
      <c r="E76" s="4" t="s">
        <v>30</v>
      </c>
      <c r="F76" s="4" t="s">
        <v>24</v>
      </c>
      <c r="G76" s="4" t="s">
        <v>34</v>
      </c>
      <c r="H76" s="4" t="s">
        <v>33</v>
      </c>
      <c r="I76" s="16" t="n">
        <f aca="false">SUMIFS('Por Fragrância'!$H$5:$H$192,'Por Fragrância'!$A$5:$A$192,$B76,'Por Fragrância'!$B$5:$B$192,$C76,'Por Fragrância'!$C$5:$C$192,$D76,'Por Fragrância'!$D$5:$D$192,$F76,'Por Fragrância'!$E$5:$E$192,$G76)</f>
        <v>0</v>
      </c>
      <c r="J76" s="16" t="n">
        <f aca="false">SUMIFS('Por Fragrância'!$I$5:$I$192,'Por Fragrância'!$A$5:$A$192,$B76,'Por Fragrância'!$B$5:$B$192,$C76,'Por Fragrância'!$C$5:$C$192,$D76,'Por Fragrância'!$D$5:$D$192,$F76,'Por Fragrância'!$E$5:$E$192,$G76)</f>
        <v>10</v>
      </c>
      <c r="K76" s="18" t="n">
        <f aca="false">IF($B$6=0,0,J76/$B$6)</f>
        <v>1.10280797101449</v>
      </c>
      <c r="L76" s="16" t="n">
        <f aca="false">ROUNDUP(K76*$B$7,0)</f>
        <v>14</v>
      </c>
      <c r="M76" s="17" t="n">
        <f aca="false">I76+L76</f>
        <v>14</v>
      </c>
    </row>
    <row r="77" customFormat="false" ht="15" hidden="false" customHeight="false" outlineLevel="0" collapsed="false">
      <c r="A77" s="4" t="s">
        <v>171</v>
      </c>
      <c r="B77" s="4" t="s">
        <v>56</v>
      </c>
      <c r="C77" s="4" t="s">
        <v>33</v>
      </c>
      <c r="D77" s="4" t="n">
        <v>100</v>
      </c>
      <c r="E77" s="4" t="s">
        <v>30</v>
      </c>
      <c r="F77" s="4" t="s">
        <v>24</v>
      </c>
      <c r="G77" s="4" t="s">
        <v>34</v>
      </c>
      <c r="H77" s="4" t="s">
        <v>33</v>
      </c>
      <c r="I77" s="16" t="n">
        <f aca="false">SUMIFS('Por Fragrância'!$H$5:$H$192,'Por Fragrância'!$A$5:$A$192,$B77,'Por Fragrância'!$B$5:$B$192,$C77,'Por Fragrância'!$C$5:$C$192,$D77,'Por Fragrância'!$D$5:$D$192,$F77,'Por Fragrância'!$E$5:$E$192,$G77)</f>
        <v>0</v>
      </c>
      <c r="J77" s="16" t="n">
        <f aca="false">SUMIFS('Por Fragrância'!$I$5:$I$192,'Por Fragrância'!$A$5:$A$192,$B77,'Por Fragrância'!$B$5:$B$192,$C77,'Por Fragrância'!$C$5:$C$192,$D77,'Por Fragrância'!$D$5:$D$192,$F77,'Por Fragrância'!$E$5:$E$192,$G77)</f>
        <v>10</v>
      </c>
      <c r="K77" s="18" t="n">
        <f aca="false">IF($B$6=0,0,J77/$B$6)</f>
        <v>1.10280797101449</v>
      </c>
      <c r="L77" s="16" t="n">
        <f aca="false">ROUNDUP(K77*$B$7,0)</f>
        <v>14</v>
      </c>
      <c r="M77" s="17" t="n">
        <f aca="false">I77+L77</f>
        <v>14</v>
      </c>
    </row>
    <row r="78" customFormat="false" ht="15" hidden="false" customHeight="false" outlineLevel="0" collapsed="false">
      <c r="A78" s="4" t="s">
        <v>172</v>
      </c>
      <c r="B78" s="4" t="s">
        <v>57</v>
      </c>
      <c r="C78" s="4" t="s">
        <v>33</v>
      </c>
      <c r="D78" s="4" t="n">
        <v>100</v>
      </c>
      <c r="E78" s="4" t="s">
        <v>30</v>
      </c>
      <c r="F78" s="4" t="s">
        <v>24</v>
      </c>
      <c r="G78" s="4" t="s">
        <v>34</v>
      </c>
      <c r="H78" s="4" t="s">
        <v>33</v>
      </c>
      <c r="I78" s="16" t="n">
        <f aca="false">SUMIFS('Por Fragrância'!$H$5:$H$192,'Por Fragrância'!$A$5:$A$192,$B78,'Por Fragrância'!$B$5:$B$192,$C78,'Por Fragrância'!$C$5:$C$192,$D78,'Por Fragrância'!$D$5:$D$192,$F78,'Por Fragrância'!$E$5:$E$192,$G78)</f>
        <v>0</v>
      </c>
      <c r="J78" s="16" t="n">
        <f aca="false">SUMIFS('Por Fragrância'!$I$5:$I$192,'Por Fragrância'!$A$5:$A$192,$B78,'Por Fragrância'!$B$5:$B$192,$C78,'Por Fragrância'!$C$5:$C$192,$D78,'Por Fragrância'!$D$5:$D$192,$F78,'Por Fragrância'!$E$5:$E$192,$G78)</f>
        <v>649</v>
      </c>
      <c r="K78" s="18" t="n">
        <f aca="false">IF($B$6=0,0,J78/$B$6)</f>
        <v>71.5722373188406</v>
      </c>
      <c r="L78" s="16" t="n">
        <f aca="false">ROUNDUP(K78*$B$7,0)</f>
        <v>859</v>
      </c>
      <c r="M78" s="17" t="n">
        <f aca="false">I78+L78</f>
        <v>859</v>
      </c>
    </row>
    <row r="79" customFormat="false" ht="15" hidden="false" customHeight="false" outlineLevel="0" collapsed="false">
      <c r="A79" s="4" t="s">
        <v>173</v>
      </c>
      <c r="B79" s="4" t="s">
        <v>58</v>
      </c>
      <c r="C79" s="4" t="s">
        <v>33</v>
      </c>
      <c r="D79" s="4" t="n">
        <v>100</v>
      </c>
      <c r="E79" s="4" t="s">
        <v>30</v>
      </c>
      <c r="F79" s="4" t="s">
        <v>24</v>
      </c>
      <c r="G79" s="4" t="s">
        <v>34</v>
      </c>
      <c r="H79" s="4" t="s">
        <v>33</v>
      </c>
      <c r="I79" s="16" t="n">
        <f aca="false">SUMIFS('Por Fragrância'!$H$5:$H$192,'Por Fragrância'!$A$5:$A$192,$B79,'Por Fragrância'!$B$5:$B$192,$C79,'Por Fragrância'!$C$5:$C$192,$D79,'Por Fragrância'!$D$5:$D$192,$F79,'Por Fragrância'!$E$5:$E$192,$G79)</f>
        <v>0</v>
      </c>
      <c r="J79" s="16" t="n">
        <f aca="false">SUMIFS('Por Fragrância'!$I$5:$I$192,'Por Fragrância'!$A$5:$A$192,$B79,'Por Fragrância'!$B$5:$B$192,$C79,'Por Fragrância'!$C$5:$C$192,$D79,'Por Fragrância'!$D$5:$D$192,$F79,'Por Fragrância'!$E$5:$E$192,$G79)</f>
        <v>28</v>
      </c>
      <c r="K79" s="18" t="n">
        <f aca="false">IF($B$6=0,0,J79/$B$6)</f>
        <v>3.08786231884058</v>
      </c>
      <c r="L79" s="16" t="n">
        <f aca="false">ROUNDUP(K79*$B$7,0)</f>
        <v>38</v>
      </c>
      <c r="M79" s="17" t="n">
        <f aca="false">I79+L79</f>
        <v>38</v>
      </c>
    </row>
    <row r="80" customFormat="false" ht="15" hidden="false" customHeight="false" outlineLevel="0" collapsed="false">
      <c r="A80" s="4" t="s">
        <v>174</v>
      </c>
      <c r="B80" s="4" t="s">
        <v>59</v>
      </c>
      <c r="C80" s="4" t="s">
        <v>33</v>
      </c>
      <c r="D80" s="4" t="n">
        <v>100</v>
      </c>
      <c r="E80" s="4" t="s">
        <v>30</v>
      </c>
      <c r="F80" s="4" t="s">
        <v>24</v>
      </c>
      <c r="G80" s="4" t="s">
        <v>34</v>
      </c>
      <c r="H80" s="4" t="s">
        <v>33</v>
      </c>
      <c r="I80" s="16" t="n">
        <f aca="false">SUMIFS('Por Fragrância'!$H$5:$H$192,'Por Fragrância'!$A$5:$A$192,$B80,'Por Fragrância'!$B$5:$B$192,$C80,'Por Fragrância'!$C$5:$C$192,$D80,'Por Fragrância'!$D$5:$D$192,$F80,'Por Fragrância'!$E$5:$E$192,$G80)</f>
        <v>0</v>
      </c>
      <c r="J80" s="16" t="n">
        <f aca="false">SUMIFS('Por Fragrância'!$I$5:$I$192,'Por Fragrância'!$A$5:$A$192,$B80,'Por Fragrância'!$B$5:$B$192,$C80,'Por Fragrância'!$C$5:$C$192,$D80,'Por Fragrância'!$D$5:$D$192,$F80,'Por Fragrância'!$E$5:$E$192,$G80)</f>
        <v>103</v>
      </c>
      <c r="K80" s="18" t="n">
        <f aca="false">IF($B$6=0,0,J80/$B$6)</f>
        <v>11.3589221014493</v>
      </c>
      <c r="L80" s="16" t="n">
        <f aca="false">ROUNDUP(K80*$B$7,0)</f>
        <v>137</v>
      </c>
      <c r="M80" s="17" t="n">
        <f aca="false">I80+L80</f>
        <v>137</v>
      </c>
    </row>
    <row r="81" customFormat="false" ht="15" hidden="false" customHeight="false" outlineLevel="0" collapsed="false">
      <c r="A81" s="4" t="s">
        <v>175</v>
      </c>
      <c r="B81" s="4" t="s">
        <v>60</v>
      </c>
      <c r="C81" s="4" t="s">
        <v>33</v>
      </c>
      <c r="D81" s="4" t="n">
        <v>100</v>
      </c>
      <c r="E81" s="4" t="s">
        <v>30</v>
      </c>
      <c r="F81" s="4" t="s">
        <v>24</v>
      </c>
      <c r="G81" s="4" t="s">
        <v>34</v>
      </c>
      <c r="H81" s="4" t="s">
        <v>33</v>
      </c>
      <c r="I81" s="16" t="n">
        <f aca="false">SUMIFS('Por Fragrância'!$H$5:$H$192,'Por Fragrância'!$A$5:$A$192,$B81,'Por Fragrância'!$B$5:$B$192,$C81,'Por Fragrância'!$C$5:$C$192,$D81,'Por Fragrância'!$D$5:$D$192,$F81,'Por Fragrância'!$E$5:$E$192,$G81)</f>
        <v>0</v>
      </c>
      <c r="J81" s="16" t="n">
        <f aca="false">SUMIFS('Por Fragrância'!$I$5:$I$192,'Por Fragrância'!$A$5:$A$192,$B81,'Por Fragrância'!$B$5:$B$192,$C81,'Por Fragrância'!$C$5:$C$192,$D81,'Por Fragrância'!$D$5:$D$192,$F81,'Por Fragrância'!$E$5:$E$192,$G81)</f>
        <v>236</v>
      </c>
      <c r="K81" s="18" t="n">
        <f aca="false">IF($B$6=0,0,J81/$B$6)</f>
        <v>26.026268115942</v>
      </c>
      <c r="L81" s="16" t="n">
        <f aca="false">ROUNDUP(K81*$B$7,0)</f>
        <v>313</v>
      </c>
      <c r="M81" s="17" t="n">
        <f aca="false">I81+L81</f>
        <v>313</v>
      </c>
    </row>
    <row r="82" customFormat="false" ht="15" hidden="false" customHeight="false" outlineLevel="0" collapsed="false">
      <c r="A82" s="4" t="s">
        <v>176</v>
      </c>
      <c r="B82" s="4" t="s">
        <v>63</v>
      </c>
      <c r="C82" s="4" t="s">
        <v>33</v>
      </c>
      <c r="D82" s="4" t="n">
        <v>100</v>
      </c>
      <c r="E82" s="4" t="s">
        <v>30</v>
      </c>
      <c r="F82" s="4" t="s">
        <v>24</v>
      </c>
      <c r="G82" s="4" t="s">
        <v>34</v>
      </c>
      <c r="H82" s="4" t="s">
        <v>33</v>
      </c>
      <c r="I82" s="16" t="n">
        <f aca="false">SUMIFS('Por Fragrância'!$H$5:$H$192,'Por Fragrância'!$A$5:$A$192,$B82,'Por Fragrância'!$B$5:$B$192,$C82,'Por Fragrância'!$C$5:$C$192,$D82,'Por Fragrância'!$D$5:$D$192,$F82,'Por Fragrância'!$E$5:$E$192,$G82)</f>
        <v>0</v>
      </c>
      <c r="J82" s="16" t="n">
        <f aca="false">SUMIFS('Por Fragrância'!$I$5:$I$192,'Por Fragrância'!$A$5:$A$192,$B82,'Por Fragrância'!$B$5:$B$192,$C82,'Por Fragrância'!$C$5:$C$192,$D82,'Por Fragrância'!$D$5:$D$192,$F82,'Por Fragrância'!$E$5:$E$192,$G82)</f>
        <v>27</v>
      </c>
      <c r="K82" s="18" t="n">
        <f aca="false">IF($B$6=0,0,J82/$B$6)</f>
        <v>2.97758152173913</v>
      </c>
      <c r="L82" s="16" t="n">
        <f aca="false">ROUNDUP(K82*$B$7,0)</f>
        <v>36</v>
      </c>
      <c r="M82" s="17" t="n">
        <f aca="false">I82+L82</f>
        <v>36</v>
      </c>
    </row>
    <row r="83" customFormat="false" ht="15" hidden="false" customHeight="false" outlineLevel="0" collapsed="false">
      <c r="A83" s="4" t="s">
        <v>177</v>
      </c>
      <c r="B83" s="4" t="s">
        <v>64</v>
      </c>
      <c r="C83" s="4" t="s">
        <v>33</v>
      </c>
      <c r="D83" s="4" t="n">
        <v>100</v>
      </c>
      <c r="E83" s="4" t="s">
        <v>30</v>
      </c>
      <c r="F83" s="4" t="s">
        <v>24</v>
      </c>
      <c r="G83" s="4" t="s">
        <v>34</v>
      </c>
      <c r="H83" s="4" t="s">
        <v>33</v>
      </c>
      <c r="I83" s="16" t="n">
        <f aca="false">SUMIFS('Por Fragrância'!$H$5:$H$192,'Por Fragrância'!$A$5:$A$192,$B83,'Por Fragrância'!$B$5:$B$192,$C83,'Por Fragrância'!$C$5:$C$192,$D83,'Por Fragrância'!$D$5:$D$192,$F83,'Por Fragrância'!$E$5:$E$192,$G83)</f>
        <v>0</v>
      </c>
      <c r="J83" s="16" t="n">
        <f aca="false">SUMIFS('Por Fragrância'!$I$5:$I$192,'Por Fragrância'!$A$5:$A$192,$B83,'Por Fragrância'!$B$5:$B$192,$C83,'Por Fragrância'!$C$5:$C$192,$D83,'Por Fragrância'!$D$5:$D$192,$F83,'Por Fragrância'!$E$5:$E$192,$G83)</f>
        <v>7</v>
      </c>
      <c r="K83" s="18" t="n">
        <f aca="false">IF($B$6=0,0,J83/$B$6)</f>
        <v>0.771965579710145</v>
      </c>
      <c r="L83" s="16" t="n">
        <f aca="false">ROUNDUP(K83*$B$7,0)</f>
        <v>10</v>
      </c>
      <c r="M83" s="17" t="n">
        <f aca="false">I83+L83</f>
        <v>10</v>
      </c>
    </row>
    <row r="84" customFormat="false" ht="15" hidden="false" customHeight="false" outlineLevel="0" collapsed="false">
      <c r="A84" s="4" t="s">
        <v>178</v>
      </c>
      <c r="B84" s="4" t="s">
        <v>69</v>
      </c>
      <c r="C84" s="4" t="s">
        <v>29</v>
      </c>
      <c r="D84" s="4" t="n">
        <v>100</v>
      </c>
      <c r="E84" s="4" t="s">
        <v>15</v>
      </c>
      <c r="F84" s="4" t="s">
        <v>24</v>
      </c>
      <c r="G84" s="4" t="s">
        <v>34</v>
      </c>
      <c r="H84" s="4" t="s">
        <v>36</v>
      </c>
      <c r="I84" s="16" t="n">
        <f aca="false">SUMIFS('Por Fragrância'!$H$5:$H$192,'Por Fragrância'!$A$5:$A$192,$B84,'Por Fragrância'!$B$5:$B$192,$C84,'Por Fragrância'!$C$5:$C$192,$D84,'Por Fragrância'!$D$5:$D$192,$F84,'Por Fragrância'!$E$5:$E$192,$G84)</f>
        <v>30</v>
      </c>
      <c r="J84" s="16" t="n">
        <f aca="false">SUMIFS('Por Fragrância'!$I$5:$I$192,'Por Fragrância'!$A$5:$A$192,$B84,'Por Fragrância'!$B$5:$B$192,$C84,'Por Fragrância'!$C$5:$C$192,$D84,'Por Fragrância'!$D$5:$D$192,$F84,'Por Fragrância'!$E$5:$E$192,$G84)</f>
        <v>0</v>
      </c>
      <c r="K84" s="18" t="n">
        <f aca="false">IF($B$6=0,0,J84/$B$6)</f>
        <v>0</v>
      </c>
      <c r="L84" s="16" t="n">
        <f aca="false">ROUNDUP(K84*$B$7,0)</f>
        <v>0</v>
      </c>
      <c r="M84" s="17" t="n">
        <f aca="false">I84+L84</f>
        <v>30</v>
      </c>
    </row>
    <row r="85" customFormat="false" ht="15" hidden="false" customHeight="false" outlineLevel="0" collapsed="false">
      <c r="A85" s="4" t="s">
        <v>179</v>
      </c>
      <c r="B85" s="4" t="s">
        <v>69</v>
      </c>
      <c r="C85" s="4" t="s">
        <v>33</v>
      </c>
      <c r="D85" s="4" t="n">
        <v>100</v>
      </c>
      <c r="E85" s="4" t="s">
        <v>30</v>
      </c>
      <c r="F85" s="4" t="s">
        <v>24</v>
      </c>
      <c r="G85" s="4" t="s">
        <v>34</v>
      </c>
      <c r="H85" s="4" t="s">
        <v>33</v>
      </c>
      <c r="I85" s="16" t="n">
        <f aca="false">SUMIFS('Por Fragrância'!$H$5:$H$192,'Por Fragrância'!$A$5:$A$192,$B85,'Por Fragrância'!$B$5:$B$192,$C85,'Por Fragrância'!$C$5:$C$192,$D85,'Por Fragrância'!$D$5:$D$192,$F85,'Por Fragrância'!$E$5:$E$192,$G85)</f>
        <v>0</v>
      </c>
      <c r="J85" s="16" t="n">
        <f aca="false">SUMIFS('Por Fragrância'!$I$5:$I$192,'Por Fragrância'!$A$5:$A$192,$B85,'Por Fragrância'!$B$5:$B$192,$C85,'Por Fragrância'!$C$5:$C$192,$D85,'Por Fragrância'!$D$5:$D$192,$F85,'Por Fragrância'!$E$5:$E$192,$G85)</f>
        <v>2</v>
      </c>
      <c r="K85" s="18" t="n">
        <f aca="false">IF($B$6=0,0,J85/$B$6)</f>
        <v>0.220561594202899</v>
      </c>
      <c r="L85" s="16" t="n">
        <f aca="false">ROUNDUP(K85*$B$7,0)</f>
        <v>3</v>
      </c>
      <c r="M85" s="17" t="n">
        <f aca="false">I85+L85</f>
        <v>3</v>
      </c>
    </row>
    <row r="86" customFormat="false" ht="15" hidden="false" customHeight="false" outlineLevel="0" collapsed="false">
      <c r="A86" s="4" t="s">
        <v>180</v>
      </c>
      <c r="B86" s="4" t="s">
        <v>72</v>
      </c>
      <c r="C86" s="4" t="s">
        <v>33</v>
      </c>
      <c r="D86" s="4" t="n">
        <v>100</v>
      </c>
      <c r="E86" s="4" t="s">
        <v>30</v>
      </c>
      <c r="F86" s="4" t="s">
        <v>24</v>
      </c>
      <c r="G86" s="4" t="s">
        <v>34</v>
      </c>
      <c r="H86" s="4" t="s">
        <v>33</v>
      </c>
      <c r="I86" s="16" t="n">
        <f aca="false">SUMIFS('Por Fragrância'!$H$5:$H$192,'Por Fragrância'!$A$5:$A$192,$B86,'Por Fragrância'!$B$5:$B$192,$C86,'Por Fragrância'!$C$5:$C$192,$D86,'Por Fragrância'!$D$5:$D$192,$F86,'Por Fragrância'!$E$5:$E$192,$G86)</f>
        <v>0</v>
      </c>
      <c r="J86" s="16" t="n">
        <f aca="false">SUMIFS('Por Fragrância'!$I$5:$I$192,'Por Fragrância'!$A$5:$A$192,$B86,'Por Fragrância'!$B$5:$B$192,$C86,'Por Fragrância'!$C$5:$C$192,$D86,'Por Fragrância'!$D$5:$D$192,$F86,'Por Fragrância'!$E$5:$E$192,$G86)</f>
        <v>3</v>
      </c>
      <c r="K86" s="18" t="n">
        <f aca="false">IF($B$6=0,0,J86/$B$6)</f>
        <v>0.330842391304348</v>
      </c>
      <c r="L86" s="16" t="n">
        <f aca="false">ROUNDUP(K86*$B$7,0)</f>
        <v>4</v>
      </c>
      <c r="M86" s="17" t="n">
        <f aca="false">I86+L86</f>
        <v>4</v>
      </c>
    </row>
    <row r="87" customFormat="false" ht="15" hidden="false" customHeight="false" outlineLevel="0" collapsed="false">
      <c r="A87" s="4" t="s">
        <v>181</v>
      </c>
      <c r="B87" s="4" t="s">
        <v>73</v>
      </c>
      <c r="C87" s="4" t="s">
        <v>29</v>
      </c>
      <c r="D87" s="4" t="n">
        <v>100</v>
      </c>
      <c r="E87" s="4" t="s">
        <v>15</v>
      </c>
      <c r="F87" s="4" t="s">
        <v>24</v>
      </c>
      <c r="G87" s="4" t="s">
        <v>34</v>
      </c>
      <c r="H87" s="4" t="s">
        <v>36</v>
      </c>
      <c r="I87" s="16" t="n">
        <f aca="false">SUMIFS('Por Fragrância'!$H$5:$H$192,'Por Fragrância'!$A$5:$A$192,$B87,'Por Fragrância'!$B$5:$B$192,$C87,'Por Fragrância'!$C$5:$C$192,$D87,'Por Fragrância'!$D$5:$D$192,$F87,'Por Fragrância'!$E$5:$E$192,$G87)</f>
        <v>30</v>
      </c>
      <c r="J87" s="16" t="n">
        <f aca="false">SUMIFS('Por Fragrância'!$I$5:$I$192,'Por Fragrância'!$A$5:$A$192,$B87,'Por Fragrância'!$B$5:$B$192,$C87,'Por Fragrância'!$C$5:$C$192,$D87,'Por Fragrância'!$D$5:$D$192,$F87,'Por Fragrância'!$E$5:$E$192,$G87)</f>
        <v>0</v>
      </c>
      <c r="K87" s="18" t="n">
        <f aca="false">IF($B$6=0,0,J87/$B$6)</f>
        <v>0</v>
      </c>
      <c r="L87" s="16" t="n">
        <f aca="false">ROUNDUP(K87*$B$7,0)</f>
        <v>0</v>
      </c>
      <c r="M87" s="17" t="n">
        <f aca="false">I87+L87</f>
        <v>30</v>
      </c>
    </row>
    <row r="88" customFormat="false" ht="15" hidden="false" customHeight="false" outlineLevel="0" collapsed="false">
      <c r="A88" s="4" t="s">
        <v>182</v>
      </c>
      <c r="B88" s="4" t="s">
        <v>74</v>
      </c>
      <c r="C88" s="4" t="s">
        <v>33</v>
      </c>
      <c r="D88" s="4" t="n">
        <v>100</v>
      </c>
      <c r="E88" s="4" t="s">
        <v>30</v>
      </c>
      <c r="F88" s="4" t="s">
        <v>24</v>
      </c>
      <c r="G88" s="4" t="s">
        <v>34</v>
      </c>
      <c r="H88" s="4" t="s">
        <v>33</v>
      </c>
      <c r="I88" s="16" t="n">
        <f aca="false">SUMIFS('Por Fragrância'!$H$5:$H$192,'Por Fragrância'!$A$5:$A$192,$B88,'Por Fragrância'!$B$5:$B$192,$C88,'Por Fragrância'!$C$5:$C$192,$D88,'Por Fragrância'!$D$5:$D$192,$F88,'Por Fragrância'!$E$5:$E$192,$G88)</f>
        <v>0</v>
      </c>
      <c r="J88" s="16" t="n">
        <f aca="false">SUMIFS('Por Fragrância'!$I$5:$I$192,'Por Fragrância'!$A$5:$A$192,$B88,'Por Fragrância'!$B$5:$B$192,$C88,'Por Fragrância'!$C$5:$C$192,$D88,'Por Fragrância'!$D$5:$D$192,$F88,'Por Fragrância'!$E$5:$E$192,$G88)</f>
        <v>14</v>
      </c>
      <c r="K88" s="18" t="n">
        <f aca="false">IF($B$6=0,0,J88/$B$6)</f>
        <v>1.54393115942029</v>
      </c>
      <c r="L88" s="16" t="n">
        <f aca="false">ROUNDUP(K88*$B$7,0)</f>
        <v>19</v>
      </c>
      <c r="M88" s="17" t="n">
        <f aca="false">I88+L88</f>
        <v>19</v>
      </c>
    </row>
    <row r="89" customFormat="false" ht="15" hidden="false" customHeight="false" outlineLevel="0" collapsed="false">
      <c r="A89" s="4" t="s">
        <v>183</v>
      </c>
      <c r="B89" s="4" t="s">
        <v>75</v>
      </c>
      <c r="C89" s="4" t="s">
        <v>18</v>
      </c>
      <c r="D89" s="4" t="n">
        <v>100</v>
      </c>
      <c r="E89" s="4" t="s">
        <v>15</v>
      </c>
      <c r="F89" s="4" t="s">
        <v>24</v>
      </c>
      <c r="G89" s="4" t="s">
        <v>34</v>
      </c>
      <c r="H89" s="4" t="s">
        <v>76</v>
      </c>
      <c r="I89" s="16" t="n">
        <f aca="false">SUMIFS('Por Fragrância'!$H$5:$H$192,'Por Fragrância'!$A$5:$A$192,$B89,'Por Fragrância'!$B$5:$B$192,$C89,'Por Fragrância'!$C$5:$C$192,$D89,'Por Fragrância'!$D$5:$D$192,$F89,'Por Fragrância'!$E$5:$E$192,$G89)</f>
        <v>150</v>
      </c>
      <c r="J89" s="16" t="n">
        <f aca="false">SUMIFS('Por Fragrância'!$I$5:$I$192,'Por Fragrância'!$A$5:$A$192,$B89,'Por Fragrância'!$B$5:$B$192,$C89,'Por Fragrância'!$C$5:$C$192,$D89,'Por Fragrância'!$D$5:$D$192,$F89,'Por Fragrância'!$E$5:$E$192,$G89)</f>
        <v>0</v>
      </c>
      <c r="K89" s="18" t="n">
        <f aca="false">IF($B$6=0,0,J89/$B$6)</f>
        <v>0</v>
      </c>
      <c r="L89" s="16" t="n">
        <f aca="false">ROUNDUP(K89*$B$7,0)</f>
        <v>0</v>
      </c>
      <c r="M89" s="17" t="n">
        <f aca="false">I89+L89</f>
        <v>150</v>
      </c>
    </row>
    <row r="90" customFormat="false" ht="15" hidden="false" customHeight="false" outlineLevel="0" collapsed="false">
      <c r="A90" s="4" t="s">
        <v>184</v>
      </c>
      <c r="B90" s="4" t="s">
        <v>80</v>
      </c>
      <c r="C90" s="4" t="s">
        <v>33</v>
      </c>
      <c r="D90" s="4" t="n">
        <v>100</v>
      </c>
      <c r="E90" s="4" t="s">
        <v>30</v>
      </c>
      <c r="F90" s="4" t="s">
        <v>24</v>
      </c>
      <c r="G90" s="4" t="s">
        <v>34</v>
      </c>
      <c r="H90" s="4" t="s">
        <v>33</v>
      </c>
      <c r="I90" s="16" t="n">
        <f aca="false">SUMIFS('Por Fragrância'!$H$5:$H$192,'Por Fragrância'!$A$5:$A$192,$B90,'Por Fragrância'!$B$5:$B$192,$C90,'Por Fragrância'!$C$5:$C$192,$D90,'Por Fragrância'!$D$5:$D$192,$F90,'Por Fragrância'!$E$5:$E$192,$G90)</f>
        <v>0</v>
      </c>
      <c r="J90" s="16" t="n">
        <f aca="false">SUMIFS('Por Fragrância'!$I$5:$I$192,'Por Fragrância'!$A$5:$A$192,$B90,'Por Fragrância'!$B$5:$B$192,$C90,'Por Fragrância'!$C$5:$C$192,$D90,'Por Fragrância'!$D$5:$D$192,$F90,'Por Fragrância'!$E$5:$E$192,$G90)</f>
        <v>9</v>
      </c>
      <c r="K90" s="18" t="n">
        <f aca="false">IF($B$6=0,0,J90/$B$6)</f>
        <v>0.992527173913044</v>
      </c>
      <c r="L90" s="16" t="n">
        <f aca="false">ROUNDUP(K90*$B$7,0)</f>
        <v>12</v>
      </c>
      <c r="M90" s="17" t="n">
        <f aca="false">I90+L90</f>
        <v>12</v>
      </c>
    </row>
    <row r="91" customFormat="false" ht="15" hidden="false" customHeight="false" outlineLevel="0" collapsed="false">
      <c r="A91" s="4" t="s">
        <v>185</v>
      </c>
      <c r="B91" s="4" t="s">
        <v>83</v>
      </c>
      <c r="C91" s="4" t="s">
        <v>33</v>
      </c>
      <c r="D91" s="4" t="n">
        <v>100</v>
      </c>
      <c r="E91" s="4" t="s">
        <v>30</v>
      </c>
      <c r="F91" s="4" t="s">
        <v>24</v>
      </c>
      <c r="G91" s="4" t="s">
        <v>34</v>
      </c>
      <c r="H91" s="4" t="s">
        <v>33</v>
      </c>
      <c r="I91" s="16" t="n">
        <f aca="false">SUMIFS('Por Fragrância'!$H$5:$H$192,'Por Fragrância'!$A$5:$A$192,$B91,'Por Fragrância'!$B$5:$B$192,$C91,'Por Fragrância'!$C$5:$C$192,$D91,'Por Fragrância'!$D$5:$D$192,$F91,'Por Fragrância'!$E$5:$E$192,$G91)</f>
        <v>0</v>
      </c>
      <c r="J91" s="16" t="n">
        <f aca="false">SUMIFS('Por Fragrância'!$I$5:$I$192,'Por Fragrância'!$A$5:$A$192,$B91,'Por Fragrância'!$B$5:$B$192,$C91,'Por Fragrância'!$C$5:$C$192,$D91,'Por Fragrância'!$D$5:$D$192,$F91,'Por Fragrância'!$E$5:$E$192,$G91)</f>
        <v>4</v>
      </c>
      <c r="K91" s="18" t="n">
        <f aca="false">IF($B$6=0,0,J91/$B$6)</f>
        <v>0.441123188405797</v>
      </c>
      <c r="L91" s="16" t="n">
        <f aca="false">ROUNDUP(K91*$B$7,0)</f>
        <v>6</v>
      </c>
      <c r="M91" s="17" t="n">
        <f aca="false">I91+L91</f>
        <v>6</v>
      </c>
    </row>
    <row r="92" customFormat="false" ht="15" hidden="false" customHeight="false" outlineLevel="0" collapsed="false">
      <c r="A92" s="4" t="s">
        <v>186</v>
      </c>
      <c r="B92" s="4" t="s">
        <v>84</v>
      </c>
      <c r="C92" s="4" t="s">
        <v>33</v>
      </c>
      <c r="D92" s="4" t="n">
        <v>100</v>
      </c>
      <c r="E92" s="4" t="s">
        <v>30</v>
      </c>
      <c r="F92" s="4" t="s">
        <v>24</v>
      </c>
      <c r="G92" s="4" t="s">
        <v>34</v>
      </c>
      <c r="H92" s="4" t="s">
        <v>33</v>
      </c>
      <c r="I92" s="16" t="n">
        <f aca="false">SUMIFS('Por Fragrância'!$H$5:$H$192,'Por Fragrância'!$A$5:$A$192,$B92,'Por Fragrância'!$B$5:$B$192,$C92,'Por Fragrância'!$C$5:$C$192,$D92,'Por Fragrância'!$D$5:$D$192,$F92,'Por Fragrância'!$E$5:$E$192,$G92)</f>
        <v>0</v>
      </c>
      <c r="J92" s="16" t="n">
        <f aca="false">SUMIFS('Por Fragrância'!$I$5:$I$192,'Por Fragrância'!$A$5:$A$192,$B92,'Por Fragrância'!$B$5:$B$192,$C92,'Por Fragrância'!$C$5:$C$192,$D92,'Por Fragrância'!$D$5:$D$192,$F92,'Por Fragrância'!$E$5:$E$192,$G92)</f>
        <v>12</v>
      </c>
      <c r="K92" s="18" t="n">
        <f aca="false">IF($B$6=0,0,J92/$B$6)</f>
        <v>1.32336956521739</v>
      </c>
      <c r="L92" s="16" t="n">
        <f aca="false">ROUNDUP(K92*$B$7,0)</f>
        <v>16</v>
      </c>
      <c r="M92" s="17" t="n">
        <f aca="false">I92+L92</f>
        <v>16</v>
      </c>
    </row>
    <row r="93" customFormat="false" ht="15" hidden="false" customHeight="false" outlineLevel="0" collapsed="false">
      <c r="A93" s="4" t="s">
        <v>187</v>
      </c>
      <c r="B93" s="4" t="s">
        <v>87</v>
      </c>
      <c r="C93" s="4" t="s">
        <v>33</v>
      </c>
      <c r="D93" s="4" t="n">
        <v>100</v>
      </c>
      <c r="E93" s="4" t="s">
        <v>30</v>
      </c>
      <c r="F93" s="4" t="s">
        <v>24</v>
      </c>
      <c r="G93" s="4" t="s">
        <v>34</v>
      </c>
      <c r="H93" s="4" t="s">
        <v>33</v>
      </c>
      <c r="I93" s="16" t="n">
        <f aca="false">SUMIFS('Por Fragrância'!$H$5:$H$192,'Por Fragrância'!$A$5:$A$192,$B93,'Por Fragrância'!$B$5:$B$192,$C93,'Por Fragrância'!$C$5:$C$192,$D93,'Por Fragrância'!$D$5:$D$192,$F93,'Por Fragrância'!$E$5:$E$192,$G93)</f>
        <v>0</v>
      </c>
      <c r="J93" s="16" t="n">
        <f aca="false">SUMIFS('Por Fragrância'!$I$5:$I$192,'Por Fragrância'!$A$5:$A$192,$B93,'Por Fragrância'!$B$5:$B$192,$C93,'Por Fragrância'!$C$5:$C$192,$D93,'Por Fragrância'!$D$5:$D$192,$F93,'Por Fragrância'!$E$5:$E$192,$G93)</f>
        <v>2</v>
      </c>
      <c r="K93" s="18" t="n">
        <f aca="false">IF($B$6=0,0,J93/$B$6)</f>
        <v>0.220561594202899</v>
      </c>
      <c r="L93" s="16" t="n">
        <f aca="false">ROUNDUP(K93*$B$7,0)</f>
        <v>3</v>
      </c>
      <c r="M93" s="17" t="n">
        <f aca="false">I93+L93</f>
        <v>3</v>
      </c>
    </row>
    <row r="94" customFormat="false" ht="15" hidden="false" customHeight="false" outlineLevel="0" collapsed="false">
      <c r="A94" s="4" t="s">
        <v>188</v>
      </c>
      <c r="B94" s="4" t="s">
        <v>90</v>
      </c>
      <c r="C94" s="4" t="s">
        <v>33</v>
      </c>
      <c r="D94" s="4" t="n">
        <v>100</v>
      </c>
      <c r="E94" s="4" t="s">
        <v>30</v>
      </c>
      <c r="F94" s="4" t="s">
        <v>24</v>
      </c>
      <c r="G94" s="4" t="s">
        <v>34</v>
      </c>
      <c r="H94" s="4" t="s">
        <v>33</v>
      </c>
      <c r="I94" s="16" t="n">
        <f aca="false">SUMIFS('Por Fragrância'!$H$5:$H$192,'Por Fragrância'!$A$5:$A$192,$B94,'Por Fragrância'!$B$5:$B$192,$C94,'Por Fragrância'!$C$5:$C$192,$D94,'Por Fragrância'!$D$5:$D$192,$F94,'Por Fragrância'!$E$5:$E$192,$G94)</f>
        <v>0</v>
      </c>
      <c r="J94" s="16" t="n">
        <f aca="false">SUMIFS('Por Fragrância'!$I$5:$I$192,'Por Fragrância'!$A$5:$A$192,$B94,'Por Fragrância'!$B$5:$B$192,$C94,'Por Fragrância'!$C$5:$C$192,$D94,'Por Fragrância'!$D$5:$D$192,$F94,'Por Fragrância'!$E$5:$E$192,$G94)</f>
        <v>48</v>
      </c>
      <c r="K94" s="18" t="n">
        <f aca="false">IF($B$6=0,0,J94/$B$6)</f>
        <v>5.29347826086957</v>
      </c>
      <c r="L94" s="16" t="n">
        <f aca="false">ROUNDUP(K94*$B$7,0)</f>
        <v>64</v>
      </c>
      <c r="M94" s="17" t="n">
        <f aca="false">I94+L94</f>
        <v>64</v>
      </c>
    </row>
    <row r="95" customFormat="false" ht="15" hidden="false" customHeight="false" outlineLevel="0" collapsed="false">
      <c r="A95" s="4" t="s">
        <v>189</v>
      </c>
      <c r="B95" s="4" t="s">
        <v>11</v>
      </c>
      <c r="C95" s="4" t="s">
        <v>18</v>
      </c>
      <c r="D95" s="4" t="n">
        <v>250</v>
      </c>
      <c r="E95" s="4" t="s">
        <v>15</v>
      </c>
      <c r="F95" s="4" t="s">
        <v>24</v>
      </c>
      <c r="G95" s="4" t="s">
        <v>25</v>
      </c>
      <c r="H95" s="4" t="s">
        <v>23</v>
      </c>
      <c r="I95" s="16" t="n">
        <f aca="false">SUMIFS('Por Fragrância'!$H$5:$H$192,'Por Fragrância'!$A$5:$A$192,$B95,'Por Fragrância'!$B$5:$B$192,$C95,'Por Fragrância'!$C$5:$C$192,$D95,'Por Fragrância'!$D$5:$D$192,$F95,'Por Fragrância'!$E$5:$E$192,$G95)</f>
        <v>12</v>
      </c>
      <c r="J95" s="16" t="n">
        <f aca="false">SUMIFS('Por Fragrância'!$I$5:$I$192,'Por Fragrância'!$A$5:$A$192,$B95,'Por Fragrância'!$B$5:$B$192,$C95,'Por Fragrância'!$C$5:$C$192,$D95,'Por Fragrância'!$D$5:$D$192,$F95,'Por Fragrância'!$E$5:$E$192,$G95)</f>
        <v>0</v>
      </c>
      <c r="K95" s="18" t="n">
        <f aca="false">IF($B$6=0,0,J95/$B$6)</f>
        <v>0</v>
      </c>
      <c r="L95" s="16" t="n">
        <f aca="false">ROUNDUP(K95*$B$7,0)</f>
        <v>0</v>
      </c>
      <c r="M95" s="17" t="n">
        <f aca="false">I95+L95</f>
        <v>12</v>
      </c>
    </row>
    <row r="96" customFormat="false" ht="15" hidden="false" customHeight="false" outlineLevel="0" collapsed="false">
      <c r="A96" s="4" t="s">
        <v>190</v>
      </c>
      <c r="B96" s="4" t="s">
        <v>28</v>
      </c>
      <c r="C96" s="4" t="s">
        <v>18</v>
      </c>
      <c r="D96" s="4" t="n">
        <v>250</v>
      </c>
      <c r="E96" s="4" t="s">
        <v>15</v>
      </c>
      <c r="F96" s="4" t="s">
        <v>24</v>
      </c>
      <c r="G96" s="4" t="s">
        <v>25</v>
      </c>
      <c r="H96" s="4" t="s">
        <v>23</v>
      </c>
      <c r="I96" s="16" t="n">
        <f aca="false">SUMIFS('Por Fragrância'!$H$5:$H$192,'Por Fragrância'!$A$5:$A$192,$B96,'Por Fragrância'!$B$5:$B$192,$C96,'Por Fragrância'!$C$5:$C$192,$D96,'Por Fragrância'!$D$5:$D$192,$F96,'Por Fragrância'!$E$5:$E$192,$G96)</f>
        <v>2</v>
      </c>
      <c r="J96" s="16" t="n">
        <f aca="false">SUMIFS('Por Fragrância'!$I$5:$I$192,'Por Fragrância'!$A$5:$A$192,$B96,'Por Fragrância'!$B$5:$B$192,$C96,'Por Fragrância'!$C$5:$C$192,$D96,'Por Fragrância'!$D$5:$D$192,$F96,'Por Fragrância'!$E$5:$E$192,$G96)</f>
        <v>0</v>
      </c>
      <c r="K96" s="18" t="n">
        <f aca="false">IF($B$6=0,0,J96/$B$6)</f>
        <v>0</v>
      </c>
      <c r="L96" s="16" t="n">
        <f aca="false">ROUNDUP(K96*$B$7,0)</f>
        <v>0</v>
      </c>
      <c r="M96" s="17" t="n">
        <f aca="false">I96+L96</f>
        <v>2</v>
      </c>
    </row>
    <row r="97" customFormat="false" ht="15" hidden="false" customHeight="false" outlineLevel="0" collapsed="false">
      <c r="A97" s="4" t="s">
        <v>191</v>
      </c>
      <c r="B97" s="4" t="s">
        <v>38</v>
      </c>
      <c r="C97" s="4" t="s">
        <v>18</v>
      </c>
      <c r="D97" s="4" t="n">
        <v>250</v>
      </c>
      <c r="E97" s="4" t="s">
        <v>192</v>
      </c>
      <c r="F97" s="4" t="s">
        <v>24</v>
      </c>
      <c r="G97" s="4" t="s">
        <v>25</v>
      </c>
      <c r="H97" s="4" t="s">
        <v>193</v>
      </c>
      <c r="I97" s="16" t="n">
        <f aca="false">SUMIFS('Por Fragrância'!$H$5:$H$192,'Por Fragrância'!$A$5:$A$192,$B97,'Por Fragrância'!$B$5:$B$192,$C97,'Por Fragrância'!$C$5:$C$192,$D97,'Por Fragrância'!$D$5:$D$192,$F97,'Por Fragrância'!$E$5:$E$192,$G97)</f>
        <v>2</v>
      </c>
      <c r="J97" s="16" t="n">
        <f aca="false">SUMIFS('Por Fragrância'!$I$5:$I$192,'Por Fragrância'!$A$5:$A$192,$B97,'Por Fragrância'!$B$5:$B$192,$C97,'Por Fragrância'!$C$5:$C$192,$D97,'Por Fragrância'!$D$5:$D$192,$F97,'Por Fragrância'!$E$5:$E$192,$G97)</f>
        <v>36</v>
      </c>
      <c r="K97" s="18" t="n">
        <f aca="false">IF($B$6=0,0,J97/$B$6)</f>
        <v>3.97010869565217</v>
      </c>
      <c r="L97" s="16" t="n">
        <f aca="false">ROUNDUP(K97*$B$7,0)</f>
        <v>48</v>
      </c>
      <c r="M97" s="17" t="n">
        <f aca="false">I97+L97</f>
        <v>50</v>
      </c>
    </row>
    <row r="98" customFormat="false" ht="15" hidden="false" customHeight="false" outlineLevel="0" collapsed="false">
      <c r="A98" s="4" t="s">
        <v>194</v>
      </c>
      <c r="B98" s="4" t="s">
        <v>41</v>
      </c>
      <c r="C98" s="4" t="s">
        <v>12</v>
      </c>
      <c r="D98" s="4" t="n">
        <v>250</v>
      </c>
      <c r="E98" s="4" t="s">
        <v>30</v>
      </c>
      <c r="F98" s="4" t="s">
        <v>24</v>
      </c>
      <c r="G98" s="4" t="s">
        <v>25</v>
      </c>
      <c r="H98" s="4" t="s">
        <v>12</v>
      </c>
      <c r="I98" s="16" t="n">
        <f aca="false">SUMIFS('Por Fragrância'!$H$5:$H$192,'Por Fragrância'!$A$5:$A$192,$B98,'Por Fragrância'!$B$5:$B$192,$C98,'Por Fragrância'!$C$5:$C$192,$D98,'Por Fragrância'!$D$5:$D$192,$F98,'Por Fragrância'!$E$5:$E$192,$G98)</f>
        <v>0</v>
      </c>
      <c r="J98" s="16" t="n">
        <f aca="false">SUMIFS('Por Fragrância'!$I$5:$I$192,'Por Fragrância'!$A$5:$A$192,$B98,'Por Fragrância'!$B$5:$B$192,$C98,'Por Fragrância'!$C$5:$C$192,$D98,'Por Fragrância'!$D$5:$D$192,$F98,'Por Fragrância'!$E$5:$E$192,$G98)</f>
        <v>18</v>
      </c>
      <c r="K98" s="18" t="n">
        <f aca="false">IF($B$6=0,0,J98/$B$6)</f>
        <v>1.98505434782609</v>
      </c>
      <c r="L98" s="16" t="n">
        <f aca="false">ROUNDUP(K98*$B$7,0)</f>
        <v>24</v>
      </c>
      <c r="M98" s="17" t="n">
        <f aca="false">I98+L98</f>
        <v>24</v>
      </c>
    </row>
    <row r="99" customFormat="false" ht="15" hidden="false" customHeight="false" outlineLevel="0" collapsed="false">
      <c r="A99" s="4" t="s">
        <v>195</v>
      </c>
      <c r="B99" s="4" t="s">
        <v>41</v>
      </c>
      <c r="C99" s="4" t="s">
        <v>18</v>
      </c>
      <c r="D99" s="4" t="n">
        <v>250</v>
      </c>
      <c r="E99" s="4" t="s">
        <v>15</v>
      </c>
      <c r="F99" s="4" t="s">
        <v>24</v>
      </c>
      <c r="G99" s="4" t="s">
        <v>25</v>
      </c>
      <c r="H99" s="4" t="s">
        <v>23</v>
      </c>
      <c r="I99" s="16" t="n">
        <f aca="false">SUMIFS('Por Fragrância'!$H$5:$H$192,'Por Fragrância'!$A$5:$A$192,$B99,'Por Fragrância'!$B$5:$B$192,$C99,'Por Fragrância'!$C$5:$C$192,$D99,'Por Fragrância'!$D$5:$D$192,$F99,'Por Fragrância'!$E$5:$E$192,$G99)</f>
        <v>2</v>
      </c>
      <c r="J99" s="16" t="n">
        <f aca="false">SUMIFS('Por Fragrância'!$I$5:$I$192,'Por Fragrância'!$A$5:$A$192,$B99,'Por Fragrância'!$B$5:$B$192,$C99,'Por Fragrância'!$C$5:$C$192,$D99,'Por Fragrância'!$D$5:$D$192,$F99,'Por Fragrância'!$E$5:$E$192,$G99)</f>
        <v>0</v>
      </c>
      <c r="K99" s="18" t="n">
        <f aca="false">IF($B$6=0,0,J99/$B$6)</f>
        <v>0</v>
      </c>
      <c r="L99" s="16" t="n">
        <f aca="false">ROUNDUP(K99*$B$7,0)</f>
        <v>0</v>
      </c>
      <c r="M99" s="17" t="n">
        <f aca="false">I99+L99</f>
        <v>2</v>
      </c>
    </row>
    <row r="100" customFormat="false" ht="15" hidden="false" customHeight="false" outlineLevel="0" collapsed="false">
      <c r="A100" s="4" t="s">
        <v>196</v>
      </c>
      <c r="B100" s="4" t="s">
        <v>43</v>
      </c>
      <c r="C100" s="4" t="s">
        <v>18</v>
      </c>
      <c r="D100" s="4" t="n">
        <v>250</v>
      </c>
      <c r="E100" s="4" t="s">
        <v>15</v>
      </c>
      <c r="F100" s="4" t="s">
        <v>24</v>
      </c>
      <c r="G100" s="4" t="s">
        <v>25</v>
      </c>
      <c r="H100" s="4" t="s">
        <v>23</v>
      </c>
      <c r="I100" s="16" t="n">
        <f aca="false">SUMIFS('Por Fragrância'!$H$5:$H$192,'Por Fragrância'!$A$5:$A$192,$B100,'Por Fragrância'!$B$5:$B$192,$C100,'Por Fragrância'!$C$5:$C$192,$D100,'Por Fragrância'!$D$5:$D$192,$F100,'Por Fragrância'!$E$5:$E$192,$G100)</f>
        <v>2</v>
      </c>
      <c r="J100" s="16" t="n">
        <f aca="false">SUMIFS('Por Fragrância'!$I$5:$I$192,'Por Fragrância'!$A$5:$A$192,$B100,'Por Fragrância'!$B$5:$B$192,$C100,'Por Fragrância'!$C$5:$C$192,$D100,'Por Fragrância'!$D$5:$D$192,$F100,'Por Fragrância'!$E$5:$E$192,$G100)</f>
        <v>0</v>
      </c>
      <c r="K100" s="18" t="n">
        <f aca="false">IF($B$6=0,0,J100/$B$6)</f>
        <v>0</v>
      </c>
      <c r="L100" s="16" t="n">
        <f aca="false">ROUNDUP(K100*$B$7,0)</f>
        <v>0</v>
      </c>
      <c r="M100" s="17" t="n">
        <f aca="false">I100+L100</f>
        <v>2</v>
      </c>
    </row>
    <row r="101" customFormat="false" ht="15" hidden="false" customHeight="false" outlineLevel="0" collapsed="false">
      <c r="A101" s="4" t="s">
        <v>197</v>
      </c>
      <c r="B101" s="4" t="s">
        <v>44</v>
      </c>
      <c r="C101" s="4" t="s">
        <v>12</v>
      </c>
      <c r="D101" s="4" t="n">
        <v>250</v>
      </c>
      <c r="E101" s="4" t="s">
        <v>30</v>
      </c>
      <c r="F101" s="4" t="s">
        <v>24</v>
      </c>
      <c r="G101" s="4" t="s">
        <v>25</v>
      </c>
      <c r="H101" s="4" t="s">
        <v>12</v>
      </c>
      <c r="I101" s="16" t="n">
        <f aca="false">SUMIFS('Por Fragrância'!$H$5:$H$192,'Por Fragrância'!$A$5:$A$192,$B101,'Por Fragrância'!$B$5:$B$192,$C101,'Por Fragrância'!$C$5:$C$192,$D101,'Por Fragrância'!$D$5:$D$192,$F101,'Por Fragrância'!$E$5:$E$192,$G101)</f>
        <v>0</v>
      </c>
      <c r="J101" s="16" t="n">
        <f aca="false">SUMIFS('Por Fragrância'!$I$5:$I$192,'Por Fragrância'!$A$5:$A$192,$B101,'Por Fragrância'!$B$5:$B$192,$C101,'Por Fragrância'!$C$5:$C$192,$D101,'Por Fragrância'!$D$5:$D$192,$F101,'Por Fragrância'!$E$5:$E$192,$G101)</f>
        <v>205</v>
      </c>
      <c r="K101" s="18" t="n">
        <f aca="false">IF($B$6=0,0,J101/$B$6)</f>
        <v>22.6075634057971</v>
      </c>
      <c r="L101" s="16" t="n">
        <f aca="false">ROUNDUP(K101*$B$7,0)</f>
        <v>272</v>
      </c>
      <c r="M101" s="17" t="n">
        <f aca="false">I101+L101</f>
        <v>272</v>
      </c>
    </row>
    <row r="102" customFormat="false" ht="15" hidden="false" customHeight="false" outlineLevel="0" collapsed="false">
      <c r="A102" s="4" t="s">
        <v>198</v>
      </c>
      <c r="B102" s="4" t="s">
        <v>47</v>
      </c>
      <c r="C102" s="4" t="s">
        <v>18</v>
      </c>
      <c r="D102" s="4" t="n">
        <v>250</v>
      </c>
      <c r="E102" s="4" t="s">
        <v>15</v>
      </c>
      <c r="F102" s="4" t="s">
        <v>24</v>
      </c>
      <c r="G102" s="4" t="s">
        <v>25</v>
      </c>
      <c r="H102" s="4" t="s">
        <v>23</v>
      </c>
      <c r="I102" s="16" t="n">
        <f aca="false">SUMIFS('Por Fragrância'!$H$5:$H$192,'Por Fragrância'!$A$5:$A$192,$B102,'Por Fragrância'!$B$5:$B$192,$C102,'Por Fragrância'!$C$5:$C$192,$D102,'Por Fragrância'!$D$5:$D$192,$F102,'Por Fragrância'!$E$5:$E$192,$G102)</f>
        <v>12</v>
      </c>
      <c r="J102" s="16" t="n">
        <f aca="false">SUMIFS('Por Fragrância'!$I$5:$I$192,'Por Fragrância'!$A$5:$A$192,$B102,'Por Fragrância'!$B$5:$B$192,$C102,'Por Fragrância'!$C$5:$C$192,$D102,'Por Fragrância'!$D$5:$D$192,$F102,'Por Fragrância'!$E$5:$E$192,$G102)</f>
        <v>0</v>
      </c>
      <c r="K102" s="18" t="n">
        <f aca="false">IF($B$6=0,0,J102/$B$6)</f>
        <v>0</v>
      </c>
      <c r="L102" s="16" t="n">
        <f aca="false">ROUNDUP(K102*$B$7,0)</f>
        <v>0</v>
      </c>
      <c r="M102" s="17" t="n">
        <f aca="false">I102+L102</f>
        <v>12</v>
      </c>
    </row>
    <row r="103" customFormat="false" ht="15" hidden="false" customHeight="false" outlineLevel="0" collapsed="false">
      <c r="A103" s="4" t="s">
        <v>199</v>
      </c>
      <c r="B103" s="4" t="s">
        <v>48</v>
      </c>
      <c r="C103" s="4" t="s">
        <v>18</v>
      </c>
      <c r="D103" s="4" t="n">
        <v>250</v>
      </c>
      <c r="E103" s="4" t="s">
        <v>192</v>
      </c>
      <c r="F103" s="4" t="s">
        <v>24</v>
      </c>
      <c r="G103" s="4" t="s">
        <v>25</v>
      </c>
      <c r="H103" s="4" t="s">
        <v>193</v>
      </c>
      <c r="I103" s="16" t="n">
        <f aca="false">SUMIFS('Por Fragrância'!$H$5:$H$192,'Por Fragrância'!$A$5:$A$192,$B103,'Por Fragrância'!$B$5:$B$192,$C103,'Por Fragrância'!$C$5:$C$192,$D103,'Por Fragrância'!$D$5:$D$192,$F103,'Por Fragrância'!$E$5:$E$192,$G103)</f>
        <v>2</v>
      </c>
      <c r="J103" s="16" t="n">
        <f aca="false">SUMIFS('Por Fragrância'!$I$5:$I$192,'Por Fragrância'!$A$5:$A$192,$B103,'Por Fragrância'!$B$5:$B$192,$C103,'Por Fragrância'!$C$5:$C$192,$D103,'Por Fragrância'!$D$5:$D$192,$F103,'Por Fragrância'!$E$5:$E$192,$G103)</f>
        <v>80</v>
      </c>
      <c r="K103" s="18" t="n">
        <f aca="false">IF($B$6=0,0,J103/$B$6)</f>
        <v>8.82246376811594</v>
      </c>
      <c r="L103" s="16" t="n">
        <f aca="false">ROUNDUP(K103*$B$7,0)</f>
        <v>106</v>
      </c>
      <c r="M103" s="17" t="n">
        <f aca="false">I103+L103</f>
        <v>108</v>
      </c>
    </row>
    <row r="104" customFormat="false" ht="15" hidden="false" customHeight="false" outlineLevel="0" collapsed="false">
      <c r="A104" s="4" t="s">
        <v>200</v>
      </c>
      <c r="B104" s="4" t="s">
        <v>49</v>
      </c>
      <c r="C104" s="4" t="s">
        <v>18</v>
      </c>
      <c r="D104" s="4" t="n">
        <v>150</v>
      </c>
      <c r="E104" s="4" t="s">
        <v>30</v>
      </c>
      <c r="F104" s="4" t="s">
        <v>24</v>
      </c>
      <c r="G104" s="4" t="s">
        <v>25</v>
      </c>
      <c r="H104" s="4" t="s">
        <v>18</v>
      </c>
      <c r="I104" s="16" t="n">
        <f aca="false">SUMIFS('Por Fragrância'!$H$5:$H$192,'Por Fragrância'!$A$5:$A$192,$B104,'Por Fragrância'!$B$5:$B$192,$C104,'Por Fragrância'!$C$5:$C$192,$D104,'Por Fragrância'!$D$5:$D$192,$F104,'Por Fragrância'!$E$5:$E$192,$G104)</f>
        <v>0</v>
      </c>
      <c r="J104" s="16" t="n">
        <f aca="false">SUMIFS('Por Fragrância'!$I$5:$I$192,'Por Fragrância'!$A$5:$A$192,$B104,'Por Fragrância'!$B$5:$B$192,$C104,'Por Fragrância'!$C$5:$C$192,$D104,'Por Fragrância'!$D$5:$D$192,$F104,'Por Fragrância'!$E$5:$E$192,$G104)</f>
        <v>8</v>
      </c>
      <c r="K104" s="18" t="n">
        <f aca="false">IF($B$6=0,0,J104/$B$6)</f>
        <v>0.882246376811594</v>
      </c>
      <c r="L104" s="16" t="n">
        <f aca="false">ROUNDUP(K104*$B$7,0)</f>
        <v>11</v>
      </c>
      <c r="M104" s="17" t="n">
        <f aca="false">I104+L104</f>
        <v>11</v>
      </c>
    </row>
    <row r="105" customFormat="false" ht="15" hidden="false" customHeight="false" outlineLevel="0" collapsed="false">
      <c r="A105" s="4" t="s">
        <v>201</v>
      </c>
      <c r="B105" s="4" t="s">
        <v>53</v>
      </c>
      <c r="C105" s="4" t="s">
        <v>18</v>
      </c>
      <c r="D105" s="4" t="n">
        <v>250</v>
      </c>
      <c r="E105" s="4" t="s">
        <v>15</v>
      </c>
      <c r="F105" s="4" t="s">
        <v>24</v>
      </c>
      <c r="G105" s="4" t="s">
        <v>25</v>
      </c>
      <c r="H105" s="4" t="s">
        <v>23</v>
      </c>
      <c r="I105" s="16" t="n">
        <f aca="false">SUMIFS('Por Fragrância'!$H$5:$H$192,'Por Fragrância'!$A$5:$A$192,$B105,'Por Fragrância'!$B$5:$B$192,$C105,'Por Fragrância'!$C$5:$C$192,$D105,'Por Fragrância'!$D$5:$D$192,$F105,'Por Fragrância'!$E$5:$E$192,$G105)</f>
        <v>12</v>
      </c>
      <c r="J105" s="16" t="n">
        <f aca="false">SUMIFS('Por Fragrância'!$I$5:$I$192,'Por Fragrância'!$A$5:$A$192,$B105,'Por Fragrância'!$B$5:$B$192,$C105,'Por Fragrância'!$C$5:$C$192,$D105,'Por Fragrância'!$D$5:$D$192,$F105,'Por Fragrância'!$E$5:$E$192,$G105)</f>
        <v>0</v>
      </c>
      <c r="K105" s="18" t="n">
        <f aca="false">IF($B$6=0,0,J105/$B$6)</f>
        <v>0</v>
      </c>
      <c r="L105" s="16" t="n">
        <f aca="false">ROUNDUP(K105*$B$7,0)</f>
        <v>0</v>
      </c>
      <c r="M105" s="17" t="n">
        <f aca="false">I105+L105</f>
        <v>12</v>
      </c>
    </row>
    <row r="106" customFormat="false" ht="15" hidden="false" customHeight="false" outlineLevel="0" collapsed="false">
      <c r="A106" s="4" t="s">
        <v>202</v>
      </c>
      <c r="B106" s="4" t="s">
        <v>54</v>
      </c>
      <c r="C106" s="4" t="s">
        <v>18</v>
      </c>
      <c r="D106" s="4" t="n">
        <v>150</v>
      </c>
      <c r="E106" s="4" t="s">
        <v>30</v>
      </c>
      <c r="F106" s="4" t="s">
        <v>24</v>
      </c>
      <c r="G106" s="4" t="s">
        <v>25</v>
      </c>
      <c r="H106" s="4" t="s">
        <v>18</v>
      </c>
      <c r="I106" s="16" t="n">
        <f aca="false">SUMIFS('Por Fragrância'!$H$5:$H$192,'Por Fragrância'!$A$5:$A$192,$B106,'Por Fragrância'!$B$5:$B$192,$C106,'Por Fragrância'!$C$5:$C$192,$D106,'Por Fragrância'!$D$5:$D$192,$F106,'Por Fragrância'!$E$5:$E$192,$G106)</f>
        <v>0</v>
      </c>
      <c r="J106" s="16" t="n">
        <f aca="false">SUMIFS('Por Fragrância'!$I$5:$I$192,'Por Fragrância'!$A$5:$A$192,$B106,'Por Fragrância'!$B$5:$B$192,$C106,'Por Fragrância'!$C$5:$C$192,$D106,'Por Fragrância'!$D$5:$D$192,$F106,'Por Fragrância'!$E$5:$E$192,$G106)</f>
        <v>4</v>
      </c>
      <c r="K106" s="18" t="n">
        <f aca="false">IF($B$6=0,0,J106/$B$6)</f>
        <v>0.441123188405797</v>
      </c>
      <c r="L106" s="16" t="n">
        <f aca="false">ROUNDUP(K106*$B$7,0)</f>
        <v>6</v>
      </c>
      <c r="M106" s="17" t="n">
        <f aca="false">I106+L106</f>
        <v>6</v>
      </c>
    </row>
    <row r="107" customFormat="false" ht="15" hidden="false" customHeight="false" outlineLevel="0" collapsed="false">
      <c r="A107" s="4" t="s">
        <v>203</v>
      </c>
      <c r="B107" s="4" t="s">
        <v>56</v>
      </c>
      <c r="C107" s="4" t="s">
        <v>12</v>
      </c>
      <c r="D107" s="4" t="n">
        <v>150</v>
      </c>
      <c r="E107" s="4" t="s">
        <v>30</v>
      </c>
      <c r="F107" s="4" t="s">
        <v>24</v>
      </c>
      <c r="G107" s="4" t="s">
        <v>25</v>
      </c>
      <c r="H107" s="4" t="s">
        <v>12</v>
      </c>
      <c r="I107" s="16" t="n">
        <f aca="false">SUMIFS('Por Fragrância'!$H$5:$H$192,'Por Fragrância'!$A$5:$A$192,$B107,'Por Fragrância'!$B$5:$B$192,$C107,'Por Fragrância'!$C$5:$C$192,$D107,'Por Fragrância'!$D$5:$D$192,$F107,'Por Fragrância'!$E$5:$E$192,$G107)</f>
        <v>0</v>
      </c>
      <c r="J107" s="16" t="n">
        <f aca="false">SUMIFS('Por Fragrância'!$I$5:$I$192,'Por Fragrância'!$A$5:$A$192,$B107,'Por Fragrância'!$B$5:$B$192,$C107,'Por Fragrância'!$C$5:$C$192,$D107,'Por Fragrância'!$D$5:$D$192,$F107,'Por Fragrância'!$E$5:$E$192,$G107)</f>
        <v>25</v>
      </c>
      <c r="K107" s="18" t="n">
        <f aca="false">IF($B$6=0,0,J107/$B$6)</f>
        <v>2.75701992753623</v>
      </c>
      <c r="L107" s="16" t="n">
        <f aca="false">ROUNDUP(K107*$B$7,0)</f>
        <v>34</v>
      </c>
      <c r="M107" s="17" t="n">
        <f aca="false">I107+L107</f>
        <v>34</v>
      </c>
    </row>
    <row r="108" customFormat="false" ht="15" hidden="false" customHeight="false" outlineLevel="0" collapsed="false">
      <c r="A108" s="4" t="s">
        <v>204</v>
      </c>
      <c r="B108" s="4" t="s">
        <v>56</v>
      </c>
      <c r="C108" s="4" t="s">
        <v>12</v>
      </c>
      <c r="D108" s="4" t="n">
        <v>250</v>
      </c>
      <c r="E108" s="4" t="s">
        <v>30</v>
      </c>
      <c r="F108" s="4" t="s">
        <v>24</v>
      </c>
      <c r="G108" s="4" t="s">
        <v>25</v>
      </c>
      <c r="H108" s="4" t="s">
        <v>12</v>
      </c>
      <c r="I108" s="16" t="n">
        <f aca="false">SUMIFS('Por Fragrância'!$H$5:$H$192,'Por Fragrância'!$A$5:$A$192,$B108,'Por Fragrância'!$B$5:$B$192,$C108,'Por Fragrância'!$C$5:$C$192,$D108,'Por Fragrância'!$D$5:$D$192,$F108,'Por Fragrância'!$E$5:$E$192,$G108)</f>
        <v>0</v>
      </c>
      <c r="J108" s="16" t="n">
        <f aca="false">SUMIFS('Por Fragrância'!$I$5:$I$192,'Por Fragrância'!$A$5:$A$192,$B108,'Por Fragrância'!$B$5:$B$192,$C108,'Por Fragrância'!$C$5:$C$192,$D108,'Por Fragrância'!$D$5:$D$192,$F108,'Por Fragrância'!$E$5:$E$192,$G108)</f>
        <v>90</v>
      </c>
      <c r="K108" s="18" t="n">
        <f aca="false">IF($B$6=0,0,J108/$B$6)</f>
        <v>9.92527173913044</v>
      </c>
      <c r="L108" s="16" t="n">
        <f aca="false">ROUNDUP(K108*$B$7,0)</f>
        <v>120</v>
      </c>
      <c r="M108" s="17" t="n">
        <f aca="false">I108+L108</f>
        <v>120</v>
      </c>
    </row>
    <row r="109" customFormat="false" ht="15" hidden="false" customHeight="false" outlineLevel="0" collapsed="false">
      <c r="A109" s="4" t="s">
        <v>205</v>
      </c>
      <c r="B109" s="4" t="s">
        <v>68</v>
      </c>
      <c r="C109" s="4" t="s">
        <v>18</v>
      </c>
      <c r="D109" s="4" t="n">
        <v>150</v>
      </c>
      <c r="E109" s="4" t="s">
        <v>30</v>
      </c>
      <c r="F109" s="4" t="s">
        <v>24</v>
      </c>
      <c r="G109" s="4" t="s">
        <v>25</v>
      </c>
      <c r="H109" s="4" t="s">
        <v>18</v>
      </c>
      <c r="I109" s="16" t="n">
        <f aca="false">SUMIFS('Por Fragrância'!$H$5:$H$192,'Por Fragrância'!$A$5:$A$192,$B109,'Por Fragrância'!$B$5:$B$192,$C109,'Por Fragrância'!$C$5:$C$192,$D109,'Por Fragrância'!$D$5:$D$192,$F109,'Por Fragrância'!$E$5:$E$192,$G109)</f>
        <v>0</v>
      </c>
      <c r="J109" s="16" t="n">
        <f aca="false">SUMIFS('Por Fragrância'!$I$5:$I$192,'Por Fragrância'!$A$5:$A$192,$B109,'Por Fragrância'!$B$5:$B$192,$C109,'Por Fragrância'!$C$5:$C$192,$D109,'Por Fragrância'!$D$5:$D$192,$F109,'Por Fragrância'!$E$5:$E$192,$G109)</f>
        <v>9</v>
      </c>
      <c r="K109" s="18" t="n">
        <f aca="false">IF($B$6=0,0,J109/$B$6)</f>
        <v>0.992527173913044</v>
      </c>
      <c r="L109" s="16" t="n">
        <f aca="false">ROUNDUP(K109*$B$7,0)</f>
        <v>12</v>
      </c>
      <c r="M109" s="17" t="n">
        <f aca="false">I109+L109</f>
        <v>12</v>
      </c>
    </row>
    <row r="110" customFormat="false" ht="15" hidden="false" customHeight="false" outlineLevel="0" collapsed="false">
      <c r="A110" s="4" t="s">
        <v>206</v>
      </c>
      <c r="B110" s="4" t="s">
        <v>69</v>
      </c>
      <c r="C110" s="4" t="s">
        <v>18</v>
      </c>
      <c r="D110" s="4" t="n">
        <v>150</v>
      </c>
      <c r="E110" s="4" t="s">
        <v>30</v>
      </c>
      <c r="F110" s="4" t="s">
        <v>24</v>
      </c>
      <c r="G110" s="4" t="s">
        <v>25</v>
      </c>
      <c r="H110" s="4" t="s">
        <v>18</v>
      </c>
      <c r="I110" s="16" t="n">
        <f aca="false">SUMIFS('Por Fragrância'!$H$5:$H$192,'Por Fragrância'!$A$5:$A$192,$B110,'Por Fragrância'!$B$5:$B$192,$C110,'Por Fragrância'!$C$5:$C$192,$D110,'Por Fragrância'!$D$5:$D$192,$F110,'Por Fragrância'!$E$5:$E$192,$G110)</f>
        <v>0</v>
      </c>
      <c r="J110" s="16" t="n">
        <f aca="false">SUMIFS('Por Fragrância'!$I$5:$I$192,'Por Fragrância'!$A$5:$A$192,$B110,'Por Fragrância'!$B$5:$B$192,$C110,'Por Fragrância'!$C$5:$C$192,$D110,'Por Fragrância'!$D$5:$D$192,$F110,'Por Fragrância'!$E$5:$E$192,$G110)</f>
        <v>8</v>
      </c>
      <c r="K110" s="18" t="n">
        <f aca="false">IF($B$6=0,0,J110/$B$6)</f>
        <v>0.882246376811594</v>
      </c>
      <c r="L110" s="16" t="n">
        <f aca="false">ROUNDUP(K110*$B$7,0)</f>
        <v>11</v>
      </c>
      <c r="M110" s="17" t="n">
        <f aca="false">I110+L110</f>
        <v>11</v>
      </c>
    </row>
    <row r="111" customFormat="false" ht="15" hidden="false" customHeight="false" outlineLevel="0" collapsed="false">
      <c r="A111" s="4" t="s">
        <v>207</v>
      </c>
      <c r="B111" s="4" t="s">
        <v>69</v>
      </c>
      <c r="C111" s="4" t="s">
        <v>18</v>
      </c>
      <c r="D111" s="4" t="n">
        <v>250</v>
      </c>
      <c r="E111" s="4" t="s">
        <v>15</v>
      </c>
      <c r="F111" s="4" t="s">
        <v>24</v>
      </c>
      <c r="G111" s="4" t="s">
        <v>25</v>
      </c>
      <c r="H111" s="4" t="s">
        <v>23</v>
      </c>
      <c r="I111" s="16" t="n">
        <f aca="false">SUMIFS('Por Fragrância'!$H$5:$H$192,'Por Fragrância'!$A$5:$A$192,$B111,'Por Fragrância'!$B$5:$B$192,$C111,'Por Fragrância'!$C$5:$C$192,$D111,'Por Fragrância'!$D$5:$D$192,$F111,'Por Fragrância'!$E$5:$E$192,$G111)</f>
        <v>2</v>
      </c>
      <c r="J111" s="16" t="n">
        <f aca="false">SUMIFS('Por Fragrância'!$I$5:$I$192,'Por Fragrância'!$A$5:$A$192,$B111,'Por Fragrância'!$B$5:$B$192,$C111,'Por Fragrância'!$C$5:$C$192,$D111,'Por Fragrância'!$D$5:$D$192,$F111,'Por Fragrância'!$E$5:$E$192,$G111)</f>
        <v>0</v>
      </c>
      <c r="K111" s="18" t="n">
        <f aca="false">IF($B$6=0,0,J111/$B$6)</f>
        <v>0</v>
      </c>
      <c r="L111" s="16" t="n">
        <f aca="false">ROUNDUP(K111*$B$7,0)</f>
        <v>0</v>
      </c>
      <c r="M111" s="17" t="n">
        <f aca="false">I111+L111</f>
        <v>2</v>
      </c>
    </row>
    <row r="112" customFormat="false" ht="15" hidden="false" customHeight="false" outlineLevel="0" collapsed="false">
      <c r="A112" s="4" t="s">
        <v>208</v>
      </c>
      <c r="B112" s="4" t="s">
        <v>70</v>
      </c>
      <c r="C112" s="4" t="s">
        <v>18</v>
      </c>
      <c r="D112" s="4" t="n">
        <v>250</v>
      </c>
      <c r="E112" s="4" t="s">
        <v>15</v>
      </c>
      <c r="F112" s="4" t="s">
        <v>24</v>
      </c>
      <c r="G112" s="4" t="s">
        <v>25</v>
      </c>
      <c r="H112" s="4" t="s">
        <v>23</v>
      </c>
      <c r="I112" s="16" t="n">
        <f aca="false">SUMIFS('Por Fragrância'!$H$5:$H$192,'Por Fragrância'!$A$5:$A$192,$B112,'Por Fragrância'!$B$5:$B$192,$C112,'Por Fragrância'!$C$5:$C$192,$D112,'Por Fragrância'!$D$5:$D$192,$F112,'Por Fragrância'!$E$5:$E$192,$G112)</f>
        <v>12</v>
      </c>
      <c r="J112" s="16" t="n">
        <f aca="false">SUMIFS('Por Fragrância'!$I$5:$I$192,'Por Fragrância'!$A$5:$A$192,$B112,'Por Fragrância'!$B$5:$B$192,$C112,'Por Fragrância'!$C$5:$C$192,$D112,'Por Fragrância'!$D$5:$D$192,$F112,'Por Fragrância'!$E$5:$E$192,$G112)</f>
        <v>0</v>
      </c>
      <c r="K112" s="18" t="n">
        <f aca="false">IF($B$6=0,0,J112/$B$6)</f>
        <v>0</v>
      </c>
      <c r="L112" s="16" t="n">
        <f aca="false">ROUNDUP(K112*$B$7,0)</f>
        <v>0</v>
      </c>
      <c r="M112" s="17" t="n">
        <f aca="false">I112+L112</f>
        <v>12</v>
      </c>
    </row>
    <row r="113" customFormat="false" ht="15" hidden="false" customHeight="false" outlineLevel="0" collapsed="false">
      <c r="A113" s="4" t="s">
        <v>209</v>
      </c>
      <c r="B113" s="4" t="s">
        <v>72</v>
      </c>
      <c r="C113" s="4" t="s">
        <v>18</v>
      </c>
      <c r="D113" s="4" t="n">
        <v>250</v>
      </c>
      <c r="E113" s="4" t="s">
        <v>30</v>
      </c>
      <c r="F113" s="4" t="s">
        <v>24</v>
      </c>
      <c r="G113" s="4" t="s">
        <v>25</v>
      </c>
      <c r="H113" s="4" t="s">
        <v>18</v>
      </c>
      <c r="I113" s="16" t="n">
        <f aca="false">SUMIFS('Por Fragrância'!$H$5:$H$192,'Por Fragrância'!$A$5:$A$192,$B113,'Por Fragrância'!$B$5:$B$192,$C113,'Por Fragrância'!$C$5:$C$192,$D113,'Por Fragrância'!$D$5:$D$192,$F113,'Por Fragrância'!$E$5:$E$192,$G113)</f>
        <v>0</v>
      </c>
      <c r="J113" s="16" t="n">
        <f aca="false">SUMIFS('Por Fragrância'!$I$5:$I$192,'Por Fragrância'!$A$5:$A$192,$B113,'Por Fragrância'!$B$5:$B$192,$C113,'Por Fragrância'!$C$5:$C$192,$D113,'Por Fragrância'!$D$5:$D$192,$F113,'Por Fragrância'!$E$5:$E$192,$G113)</f>
        <v>6</v>
      </c>
      <c r="K113" s="18" t="n">
        <f aca="false">IF($B$6=0,0,J113/$B$6)</f>
        <v>0.661684782608696</v>
      </c>
      <c r="L113" s="16" t="n">
        <f aca="false">ROUNDUP(K113*$B$7,0)</f>
        <v>8</v>
      </c>
      <c r="M113" s="17" t="n">
        <f aca="false">I113+L113</f>
        <v>8</v>
      </c>
    </row>
    <row r="114" customFormat="false" ht="15" hidden="false" customHeight="false" outlineLevel="0" collapsed="false">
      <c r="A114" s="4" t="s">
        <v>210</v>
      </c>
      <c r="B114" s="4" t="s">
        <v>73</v>
      </c>
      <c r="C114" s="4" t="s">
        <v>18</v>
      </c>
      <c r="D114" s="4" t="n">
        <v>250</v>
      </c>
      <c r="E114" s="4" t="s">
        <v>15</v>
      </c>
      <c r="F114" s="4" t="s">
        <v>24</v>
      </c>
      <c r="G114" s="4" t="s">
        <v>25</v>
      </c>
      <c r="H114" s="4" t="s">
        <v>23</v>
      </c>
      <c r="I114" s="16" t="n">
        <f aca="false">SUMIFS('Por Fragrância'!$H$5:$H$192,'Por Fragrância'!$A$5:$A$192,$B114,'Por Fragrância'!$B$5:$B$192,$C114,'Por Fragrância'!$C$5:$C$192,$D114,'Por Fragrância'!$D$5:$D$192,$F114,'Por Fragrância'!$E$5:$E$192,$G114)</f>
        <v>2</v>
      </c>
      <c r="J114" s="16" t="n">
        <f aca="false">SUMIFS('Por Fragrância'!$I$5:$I$192,'Por Fragrância'!$A$5:$A$192,$B114,'Por Fragrância'!$B$5:$B$192,$C114,'Por Fragrância'!$C$5:$C$192,$D114,'Por Fragrância'!$D$5:$D$192,$F114,'Por Fragrância'!$E$5:$E$192,$G114)</f>
        <v>0</v>
      </c>
      <c r="K114" s="18" t="n">
        <f aca="false">IF($B$6=0,0,J114/$B$6)</f>
        <v>0</v>
      </c>
      <c r="L114" s="16" t="n">
        <f aca="false">ROUNDUP(K114*$B$7,0)</f>
        <v>0</v>
      </c>
      <c r="M114" s="17" t="n">
        <f aca="false">I114+L114</f>
        <v>2</v>
      </c>
    </row>
    <row r="115" customFormat="false" ht="15" hidden="false" customHeight="false" outlineLevel="0" collapsed="false">
      <c r="A115" s="4" t="s">
        <v>211</v>
      </c>
      <c r="B115" s="4" t="s">
        <v>74</v>
      </c>
      <c r="C115" s="4" t="s">
        <v>12</v>
      </c>
      <c r="D115" s="4" t="n">
        <v>150</v>
      </c>
      <c r="E115" s="4" t="s">
        <v>30</v>
      </c>
      <c r="F115" s="4" t="s">
        <v>24</v>
      </c>
      <c r="G115" s="4" t="s">
        <v>25</v>
      </c>
      <c r="H115" s="4" t="s">
        <v>12</v>
      </c>
      <c r="I115" s="16" t="n">
        <f aca="false">SUMIFS('Por Fragrância'!$H$5:$H$192,'Por Fragrância'!$A$5:$A$192,$B115,'Por Fragrância'!$B$5:$B$192,$C115,'Por Fragrância'!$C$5:$C$192,$D115,'Por Fragrância'!$D$5:$D$192,$F115,'Por Fragrância'!$E$5:$E$192,$G115)</f>
        <v>0</v>
      </c>
      <c r="J115" s="16" t="n">
        <f aca="false">SUMIFS('Por Fragrância'!$I$5:$I$192,'Por Fragrância'!$A$5:$A$192,$B115,'Por Fragrância'!$B$5:$B$192,$C115,'Por Fragrância'!$C$5:$C$192,$D115,'Por Fragrância'!$D$5:$D$192,$F115,'Por Fragrância'!$E$5:$E$192,$G115)</f>
        <v>9</v>
      </c>
      <c r="K115" s="18" t="n">
        <f aca="false">IF($B$6=0,0,J115/$B$6)</f>
        <v>0.992527173913044</v>
      </c>
      <c r="L115" s="16" t="n">
        <f aca="false">ROUNDUP(K115*$B$7,0)</f>
        <v>12</v>
      </c>
      <c r="M115" s="17" t="n">
        <f aca="false">I115+L115</f>
        <v>12</v>
      </c>
    </row>
    <row r="116" customFormat="false" ht="15" hidden="false" customHeight="false" outlineLevel="0" collapsed="false">
      <c r="A116" s="4" t="s">
        <v>212</v>
      </c>
      <c r="B116" s="4" t="s">
        <v>74</v>
      </c>
      <c r="C116" s="4" t="s">
        <v>12</v>
      </c>
      <c r="D116" s="4" t="n">
        <v>250</v>
      </c>
      <c r="E116" s="4" t="s">
        <v>30</v>
      </c>
      <c r="F116" s="4" t="s">
        <v>24</v>
      </c>
      <c r="G116" s="4" t="s">
        <v>25</v>
      </c>
      <c r="H116" s="4" t="s">
        <v>12</v>
      </c>
      <c r="I116" s="16" t="n">
        <f aca="false">SUMIFS('Por Fragrância'!$H$5:$H$192,'Por Fragrância'!$A$5:$A$192,$B116,'Por Fragrância'!$B$5:$B$192,$C116,'Por Fragrância'!$C$5:$C$192,$D116,'Por Fragrância'!$D$5:$D$192,$F116,'Por Fragrância'!$E$5:$E$192,$G116)</f>
        <v>0</v>
      </c>
      <c r="J116" s="16" t="n">
        <f aca="false">SUMIFS('Por Fragrância'!$I$5:$I$192,'Por Fragrância'!$A$5:$A$192,$B116,'Por Fragrância'!$B$5:$B$192,$C116,'Por Fragrância'!$C$5:$C$192,$D116,'Por Fragrância'!$D$5:$D$192,$F116,'Por Fragrância'!$E$5:$E$192,$G116)</f>
        <v>99</v>
      </c>
      <c r="K116" s="18" t="n">
        <f aca="false">IF($B$6=0,0,J116/$B$6)</f>
        <v>10.9177989130435</v>
      </c>
      <c r="L116" s="16" t="n">
        <f aca="false">ROUNDUP(K116*$B$7,0)</f>
        <v>132</v>
      </c>
      <c r="M116" s="17" t="n">
        <f aca="false">I116+L116</f>
        <v>132</v>
      </c>
    </row>
    <row r="117" customFormat="false" ht="15" hidden="false" customHeight="false" outlineLevel="0" collapsed="false">
      <c r="A117" s="4" t="s">
        <v>213</v>
      </c>
      <c r="B117" s="4" t="s">
        <v>78</v>
      </c>
      <c r="C117" s="4" t="s">
        <v>18</v>
      </c>
      <c r="D117" s="4" t="n">
        <v>250</v>
      </c>
      <c r="E117" s="4" t="s">
        <v>15</v>
      </c>
      <c r="F117" s="4" t="s">
        <v>24</v>
      </c>
      <c r="G117" s="4" t="s">
        <v>25</v>
      </c>
      <c r="H117" s="4" t="s">
        <v>23</v>
      </c>
      <c r="I117" s="16" t="n">
        <f aca="false">SUMIFS('Por Fragrância'!$H$5:$H$192,'Por Fragrância'!$A$5:$A$192,$B117,'Por Fragrância'!$B$5:$B$192,$C117,'Por Fragrância'!$C$5:$C$192,$D117,'Por Fragrância'!$D$5:$D$192,$F117,'Por Fragrância'!$E$5:$E$192,$G117)</f>
        <v>12</v>
      </c>
      <c r="J117" s="16" t="n">
        <f aca="false">SUMIFS('Por Fragrância'!$I$5:$I$192,'Por Fragrância'!$A$5:$A$192,$B117,'Por Fragrância'!$B$5:$B$192,$C117,'Por Fragrância'!$C$5:$C$192,$D117,'Por Fragrância'!$D$5:$D$192,$F117,'Por Fragrância'!$E$5:$E$192,$G117)</f>
        <v>0</v>
      </c>
      <c r="K117" s="18" t="n">
        <f aca="false">IF($B$6=0,0,J117/$B$6)</f>
        <v>0</v>
      </c>
      <c r="L117" s="16" t="n">
        <f aca="false">ROUNDUP(K117*$B$7,0)</f>
        <v>0</v>
      </c>
      <c r="M117" s="17" t="n">
        <f aca="false">I117+L117</f>
        <v>12</v>
      </c>
    </row>
    <row r="118" customFormat="false" ht="15" hidden="false" customHeight="false" outlineLevel="0" collapsed="false">
      <c r="A118" s="4" t="s">
        <v>214</v>
      </c>
      <c r="B118" s="4" t="s">
        <v>81</v>
      </c>
      <c r="C118" s="4" t="s">
        <v>18</v>
      </c>
      <c r="D118" s="4" t="n">
        <v>250</v>
      </c>
      <c r="E118" s="4" t="s">
        <v>15</v>
      </c>
      <c r="F118" s="4" t="s">
        <v>24</v>
      </c>
      <c r="G118" s="4" t="s">
        <v>25</v>
      </c>
      <c r="H118" s="4" t="s">
        <v>23</v>
      </c>
      <c r="I118" s="16" t="n">
        <f aca="false">SUMIFS('Por Fragrância'!$H$5:$H$192,'Por Fragrância'!$A$5:$A$192,$B118,'Por Fragrância'!$B$5:$B$192,$C118,'Por Fragrância'!$C$5:$C$192,$D118,'Por Fragrância'!$D$5:$D$192,$F118,'Por Fragrância'!$E$5:$E$192,$G118)</f>
        <v>12</v>
      </c>
      <c r="J118" s="16" t="n">
        <f aca="false">SUMIFS('Por Fragrância'!$I$5:$I$192,'Por Fragrância'!$A$5:$A$192,$B118,'Por Fragrância'!$B$5:$B$192,$C118,'Por Fragrância'!$C$5:$C$192,$D118,'Por Fragrância'!$D$5:$D$192,$F118,'Por Fragrância'!$E$5:$E$192,$G118)</f>
        <v>0</v>
      </c>
      <c r="K118" s="18" t="n">
        <f aca="false">IF($B$6=0,0,J118/$B$6)</f>
        <v>0</v>
      </c>
      <c r="L118" s="16" t="n">
        <f aca="false">ROUNDUP(K118*$B$7,0)</f>
        <v>0</v>
      </c>
      <c r="M118" s="17" t="n">
        <f aca="false">I118+L118</f>
        <v>12</v>
      </c>
    </row>
    <row r="119" customFormat="false" ht="15" hidden="false" customHeight="false" outlineLevel="0" collapsed="false">
      <c r="A119" s="4" t="s">
        <v>215</v>
      </c>
      <c r="B119" s="4" t="s">
        <v>85</v>
      </c>
      <c r="C119" s="4" t="s">
        <v>18</v>
      </c>
      <c r="D119" s="4" t="n">
        <v>250</v>
      </c>
      <c r="E119" s="4" t="s">
        <v>15</v>
      </c>
      <c r="F119" s="4" t="s">
        <v>24</v>
      </c>
      <c r="G119" s="4" t="s">
        <v>25</v>
      </c>
      <c r="H119" s="4" t="s">
        <v>23</v>
      </c>
      <c r="I119" s="16" t="n">
        <f aca="false">SUMIFS('Por Fragrância'!$H$5:$H$192,'Por Fragrância'!$A$5:$A$192,$B119,'Por Fragrância'!$B$5:$B$192,$C119,'Por Fragrância'!$C$5:$C$192,$D119,'Por Fragrância'!$D$5:$D$192,$F119,'Por Fragrância'!$E$5:$E$192,$G119)</f>
        <v>12</v>
      </c>
      <c r="J119" s="16" t="n">
        <f aca="false">SUMIFS('Por Fragrância'!$I$5:$I$192,'Por Fragrância'!$A$5:$A$192,$B119,'Por Fragrância'!$B$5:$B$192,$C119,'Por Fragrância'!$C$5:$C$192,$D119,'Por Fragrância'!$D$5:$D$192,$F119,'Por Fragrância'!$E$5:$E$192,$G119)</f>
        <v>0</v>
      </c>
      <c r="K119" s="18" t="n">
        <f aca="false">IF($B$6=0,0,J119/$B$6)</f>
        <v>0</v>
      </c>
      <c r="L119" s="16" t="n">
        <f aca="false">ROUNDUP(K119*$B$7,0)</f>
        <v>0</v>
      </c>
      <c r="M119" s="17" t="n">
        <f aca="false">I119+L119</f>
        <v>12</v>
      </c>
    </row>
    <row r="120" customFormat="false" ht="15" hidden="false" customHeight="false" outlineLevel="0" collapsed="false">
      <c r="A120" s="4" t="s">
        <v>216</v>
      </c>
      <c r="B120" s="4" t="s">
        <v>88</v>
      </c>
      <c r="C120" s="4" t="s">
        <v>18</v>
      </c>
      <c r="D120" s="4" t="n">
        <v>250</v>
      </c>
      <c r="E120" s="4" t="s">
        <v>15</v>
      </c>
      <c r="F120" s="4" t="s">
        <v>24</v>
      </c>
      <c r="G120" s="4" t="s">
        <v>25</v>
      </c>
      <c r="H120" s="4" t="s">
        <v>23</v>
      </c>
      <c r="I120" s="16" t="n">
        <f aca="false">SUMIFS('Por Fragrância'!$H$5:$H$192,'Por Fragrância'!$A$5:$A$192,$B120,'Por Fragrância'!$B$5:$B$192,$C120,'Por Fragrância'!$C$5:$C$192,$D120,'Por Fragrância'!$D$5:$D$192,$F120,'Por Fragrância'!$E$5:$E$192,$G120)</f>
        <v>12</v>
      </c>
      <c r="J120" s="16" t="n">
        <f aca="false">SUMIFS('Por Fragrância'!$I$5:$I$192,'Por Fragrância'!$A$5:$A$192,$B120,'Por Fragrância'!$B$5:$B$192,$C120,'Por Fragrância'!$C$5:$C$192,$D120,'Por Fragrância'!$D$5:$D$192,$F120,'Por Fragrância'!$E$5:$E$192,$G120)</f>
        <v>0</v>
      </c>
      <c r="K120" s="18" t="n">
        <f aca="false">IF($B$6=0,0,J120/$B$6)</f>
        <v>0</v>
      </c>
      <c r="L120" s="16" t="n">
        <f aca="false">ROUNDUP(K120*$B$7,0)</f>
        <v>0</v>
      </c>
      <c r="M120" s="17" t="n">
        <f aca="false">I120+L120</f>
        <v>12</v>
      </c>
    </row>
    <row r="121" customFormat="false" ht="15" hidden="false" customHeight="false" outlineLevel="0" collapsed="false">
      <c r="A121" s="4" t="s">
        <v>217</v>
      </c>
      <c r="B121" s="4" t="s">
        <v>89</v>
      </c>
      <c r="C121" s="4" t="s">
        <v>18</v>
      </c>
      <c r="D121" s="4" t="n">
        <v>250</v>
      </c>
      <c r="E121" s="4" t="s">
        <v>15</v>
      </c>
      <c r="F121" s="4" t="s">
        <v>24</v>
      </c>
      <c r="G121" s="4" t="s">
        <v>25</v>
      </c>
      <c r="H121" s="4" t="s">
        <v>23</v>
      </c>
      <c r="I121" s="16" t="n">
        <f aca="false">SUMIFS('Por Fragrância'!$H$5:$H$192,'Por Fragrância'!$A$5:$A$192,$B121,'Por Fragrância'!$B$5:$B$192,$C121,'Por Fragrância'!$C$5:$C$192,$D121,'Por Fragrância'!$D$5:$D$192,$F121,'Por Fragrância'!$E$5:$E$192,$G121)</f>
        <v>12</v>
      </c>
      <c r="J121" s="16" t="n">
        <f aca="false">SUMIFS('Por Fragrância'!$I$5:$I$192,'Por Fragrância'!$A$5:$A$192,$B121,'Por Fragrância'!$B$5:$B$192,$C121,'Por Fragrância'!$C$5:$C$192,$D121,'Por Fragrância'!$D$5:$D$192,$F121,'Por Fragrância'!$E$5:$E$192,$G121)</f>
        <v>0</v>
      </c>
      <c r="K121" s="18" t="n">
        <f aca="false">IF($B$6=0,0,J121/$B$6)</f>
        <v>0</v>
      </c>
      <c r="L121" s="16" t="n">
        <f aca="false">ROUNDUP(K121*$B$7,0)</f>
        <v>0</v>
      </c>
      <c r="M121" s="17" t="n">
        <f aca="false">I121+L121</f>
        <v>12</v>
      </c>
    </row>
    <row r="122" customFormat="false" ht="15" hidden="false" customHeight="false" outlineLevel="0" collapsed="false">
      <c r="A122" s="4" t="s">
        <v>218</v>
      </c>
      <c r="B122" s="4" t="s">
        <v>91</v>
      </c>
      <c r="C122" s="4" t="s">
        <v>18</v>
      </c>
      <c r="D122" s="4" t="n">
        <v>250</v>
      </c>
      <c r="E122" s="4" t="s">
        <v>15</v>
      </c>
      <c r="F122" s="4" t="s">
        <v>24</v>
      </c>
      <c r="G122" s="4" t="s">
        <v>25</v>
      </c>
      <c r="H122" s="4" t="s">
        <v>23</v>
      </c>
      <c r="I122" s="16" t="n">
        <f aca="false">SUMIFS('Por Fragrância'!$H$5:$H$192,'Por Fragrância'!$A$5:$A$192,$B122,'Por Fragrância'!$B$5:$B$192,$C122,'Por Fragrância'!$C$5:$C$192,$D122,'Por Fragrância'!$D$5:$D$192,$F122,'Por Fragrância'!$E$5:$E$192,$G122)</f>
        <v>12</v>
      </c>
      <c r="J122" s="16" t="n">
        <f aca="false">SUMIFS('Por Fragrância'!$I$5:$I$192,'Por Fragrância'!$A$5:$A$192,$B122,'Por Fragrância'!$B$5:$B$192,$C122,'Por Fragrância'!$C$5:$C$192,$D122,'Por Fragrância'!$D$5:$D$192,$F122,'Por Fragrância'!$E$5:$E$192,$G122)</f>
        <v>0</v>
      </c>
      <c r="K122" s="18" t="n">
        <f aca="false">IF($B$6=0,0,J122/$B$6)</f>
        <v>0</v>
      </c>
      <c r="L122" s="16" t="n">
        <f aca="false">ROUNDUP(K122*$B$7,0)</f>
        <v>0</v>
      </c>
      <c r="M122" s="17" t="n">
        <f aca="false">I122+L122</f>
        <v>12</v>
      </c>
    </row>
    <row r="123" customFormat="false" ht="15" hidden="false" customHeight="false" outlineLevel="0" collapsed="false">
      <c r="A123" s="4" t="s">
        <v>219</v>
      </c>
      <c r="B123" s="4" t="s">
        <v>28</v>
      </c>
      <c r="C123" s="4" t="s">
        <v>12</v>
      </c>
      <c r="D123" s="4" t="n">
        <v>500</v>
      </c>
      <c r="E123" s="4" t="s">
        <v>15</v>
      </c>
      <c r="F123" s="4" t="s">
        <v>24</v>
      </c>
      <c r="G123" s="4" t="s">
        <v>31</v>
      </c>
      <c r="H123" s="4" t="s">
        <v>35</v>
      </c>
      <c r="I123" s="16" t="n">
        <f aca="false">SUMIFS('Por Fragrância'!$H$5:$H$192,'Por Fragrância'!$A$5:$A$192,$B123,'Por Fragrância'!$B$5:$B$192,$C123,'Por Fragrância'!$C$5:$C$192,$D123,'Por Fragrância'!$D$5:$D$192,$F123,'Por Fragrância'!$E$5:$E$192,$G123)</f>
        <v>10</v>
      </c>
      <c r="J123" s="16" t="n">
        <f aca="false">SUMIFS('Por Fragrância'!$I$5:$I$192,'Por Fragrância'!$A$5:$A$192,$B123,'Por Fragrância'!$B$5:$B$192,$C123,'Por Fragrância'!$C$5:$C$192,$D123,'Por Fragrância'!$D$5:$D$192,$F123,'Por Fragrância'!$E$5:$E$192,$G123)</f>
        <v>0</v>
      </c>
      <c r="K123" s="18" t="n">
        <f aca="false">IF($B$6=0,0,J123/$B$6)</f>
        <v>0</v>
      </c>
      <c r="L123" s="16" t="n">
        <f aca="false">ROUNDUP(K123*$B$7,0)</f>
        <v>0</v>
      </c>
      <c r="M123" s="17" t="n">
        <f aca="false">I123+L123</f>
        <v>10</v>
      </c>
    </row>
    <row r="124" customFormat="false" ht="15" hidden="false" customHeight="false" outlineLevel="0" collapsed="false">
      <c r="A124" s="4" t="s">
        <v>220</v>
      </c>
      <c r="B124" s="4" t="s">
        <v>28</v>
      </c>
      <c r="C124" s="4" t="s">
        <v>29</v>
      </c>
      <c r="D124" s="4" t="n">
        <v>400</v>
      </c>
      <c r="E124" s="4" t="s">
        <v>30</v>
      </c>
      <c r="F124" s="4" t="s">
        <v>24</v>
      </c>
      <c r="G124" s="4" t="s">
        <v>31</v>
      </c>
      <c r="H124" s="4" t="s">
        <v>29</v>
      </c>
      <c r="I124" s="16" t="n">
        <f aca="false">SUMIFS('Por Fragrância'!$H$5:$H$192,'Por Fragrância'!$A$5:$A$192,$B124,'Por Fragrância'!$B$5:$B$192,$C124,'Por Fragrância'!$C$5:$C$192,$D124,'Por Fragrância'!$D$5:$D$192,$F124,'Por Fragrância'!$E$5:$E$192,$G124)</f>
        <v>0</v>
      </c>
      <c r="J124" s="16" t="n">
        <f aca="false">SUMIFS('Por Fragrância'!$I$5:$I$192,'Por Fragrância'!$A$5:$A$192,$B124,'Por Fragrância'!$B$5:$B$192,$C124,'Por Fragrância'!$C$5:$C$192,$D124,'Por Fragrância'!$D$5:$D$192,$F124,'Por Fragrância'!$E$5:$E$192,$G124)</f>
        <v>55</v>
      </c>
      <c r="K124" s="18" t="n">
        <f aca="false">IF($B$6=0,0,J124/$B$6)</f>
        <v>6.06544384057971</v>
      </c>
      <c r="L124" s="16" t="n">
        <f aca="false">ROUNDUP(K124*$B$7,0)</f>
        <v>73</v>
      </c>
      <c r="M124" s="17" t="n">
        <f aca="false">I124+L124</f>
        <v>73</v>
      </c>
    </row>
    <row r="125" customFormat="false" ht="15" hidden="false" customHeight="false" outlineLevel="0" collapsed="false">
      <c r="A125" s="4" t="s">
        <v>221</v>
      </c>
      <c r="B125" s="4" t="s">
        <v>28</v>
      </c>
      <c r="C125" s="4" t="s">
        <v>33</v>
      </c>
      <c r="D125" s="4" t="n">
        <v>500</v>
      </c>
      <c r="E125" s="4" t="s">
        <v>30</v>
      </c>
      <c r="F125" s="4" t="s">
        <v>24</v>
      </c>
      <c r="G125" s="4" t="s">
        <v>31</v>
      </c>
      <c r="H125" s="4" t="s">
        <v>33</v>
      </c>
      <c r="I125" s="16" t="n">
        <f aca="false">SUMIFS('Por Fragrância'!$H$5:$H$192,'Por Fragrância'!$A$5:$A$192,$B125,'Por Fragrância'!$B$5:$B$192,$C125,'Por Fragrância'!$C$5:$C$192,$D125,'Por Fragrância'!$D$5:$D$192,$F125,'Por Fragrância'!$E$5:$E$192,$G125)</f>
        <v>0</v>
      </c>
      <c r="J125" s="16" t="n">
        <f aca="false">SUMIFS('Por Fragrância'!$I$5:$I$192,'Por Fragrância'!$A$5:$A$192,$B125,'Por Fragrância'!$B$5:$B$192,$C125,'Por Fragrância'!$C$5:$C$192,$D125,'Por Fragrância'!$D$5:$D$192,$F125,'Por Fragrância'!$E$5:$E$192,$G125)</f>
        <v>76</v>
      </c>
      <c r="K125" s="18" t="n">
        <f aca="false">IF($B$6=0,0,J125/$B$6)</f>
        <v>8.38134057971015</v>
      </c>
      <c r="L125" s="16" t="n">
        <f aca="false">ROUNDUP(K125*$B$7,0)</f>
        <v>101</v>
      </c>
      <c r="M125" s="17" t="n">
        <f aca="false">I125+L125</f>
        <v>101</v>
      </c>
    </row>
    <row r="126" customFormat="false" ht="15" hidden="false" customHeight="false" outlineLevel="0" collapsed="false">
      <c r="A126" s="4" t="s">
        <v>222</v>
      </c>
      <c r="B126" s="4" t="s">
        <v>37</v>
      </c>
      <c r="C126" s="4" t="s">
        <v>29</v>
      </c>
      <c r="D126" s="4" t="n">
        <v>400</v>
      </c>
      <c r="E126" s="4" t="s">
        <v>30</v>
      </c>
      <c r="F126" s="4" t="s">
        <v>24</v>
      </c>
      <c r="G126" s="4" t="s">
        <v>31</v>
      </c>
      <c r="H126" s="4" t="s">
        <v>29</v>
      </c>
      <c r="I126" s="16" t="n">
        <f aca="false">SUMIFS('Por Fragrância'!$H$5:$H$192,'Por Fragrância'!$A$5:$A$192,$B126,'Por Fragrância'!$B$5:$B$192,$C126,'Por Fragrância'!$C$5:$C$192,$D126,'Por Fragrância'!$D$5:$D$192,$F126,'Por Fragrância'!$E$5:$E$192,$G126)</f>
        <v>0</v>
      </c>
      <c r="J126" s="16" t="n">
        <f aca="false">SUMIFS('Por Fragrância'!$I$5:$I$192,'Por Fragrância'!$A$5:$A$192,$B126,'Por Fragrância'!$B$5:$B$192,$C126,'Por Fragrância'!$C$5:$C$192,$D126,'Por Fragrância'!$D$5:$D$192,$F126,'Por Fragrância'!$E$5:$E$192,$G126)</f>
        <v>4</v>
      </c>
      <c r="K126" s="18" t="n">
        <f aca="false">IF($B$6=0,0,J126/$B$6)</f>
        <v>0.441123188405797</v>
      </c>
      <c r="L126" s="16" t="n">
        <f aca="false">ROUNDUP(K126*$B$7,0)</f>
        <v>6</v>
      </c>
      <c r="M126" s="17" t="n">
        <f aca="false">I126+L126</f>
        <v>6</v>
      </c>
    </row>
    <row r="127" customFormat="false" ht="15" hidden="false" customHeight="false" outlineLevel="0" collapsed="false">
      <c r="A127" s="4" t="s">
        <v>223</v>
      </c>
      <c r="B127" s="4" t="s">
        <v>38</v>
      </c>
      <c r="C127" s="4" t="s">
        <v>12</v>
      </c>
      <c r="D127" s="4" t="n">
        <v>500</v>
      </c>
      <c r="E127" s="4" t="s">
        <v>15</v>
      </c>
      <c r="F127" s="4" t="s">
        <v>24</v>
      </c>
      <c r="G127" s="4" t="s">
        <v>31</v>
      </c>
      <c r="H127" s="4" t="s">
        <v>35</v>
      </c>
      <c r="I127" s="16" t="n">
        <f aca="false">SUMIFS('Por Fragrância'!$H$5:$H$192,'Por Fragrância'!$A$5:$A$192,$B127,'Por Fragrância'!$B$5:$B$192,$C127,'Por Fragrância'!$C$5:$C$192,$D127,'Por Fragrância'!$D$5:$D$192,$F127,'Por Fragrância'!$E$5:$E$192,$G127)</f>
        <v>10</v>
      </c>
      <c r="J127" s="16" t="n">
        <f aca="false">SUMIFS('Por Fragrância'!$I$5:$I$192,'Por Fragrância'!$A$5:$A$192,$B127,'Por Fragrância'!$B$5:$B$192,$C127,'Por Fragrância'!$C$5:$C$192,$D127,'Por Fragrância'!$D$5:$D$192,$F127,'Por Fragrância'!$E$5:$E$192,$G127)</f>
        <v>0</v>
      </c>
      <c r="K127" s="18" t="n">
        <f aca="false">IF($B$6=0,0,J127/$B$6)</f>
        <v>0</v>
      </c>
      <c r="L127" s="16" t="n">
        <f aca="false">ROUNDUP(K127*$B$7,0)</f>
        <v>0</v>
      </c>
      <c r="M127" s="17" t="n">
        <f aca="false">I127+L127</f>
        <v>10</v>
      </c>
    </row>
    <row r="128" customFormat="false" ht="15" hidden="false" customHeight="false" outlineLevel="0" collapsed="false">
      <c r="A128" s="4" t="s">
        <v>224</v>
      </c>
      <c r="B128" s="4" t="s">
        <v>38</v>
      </c>
      <c r="C128" s="4" t="s">
        <v>29</v>
      </c>
      <c r="D128" s="4" t="n">
        <v>400</v>
      </c>
      <c r="E128" s="4" t="s">
        <v>30</v>
      </c>
      <c r="F128" s="4" t="s">
        <v>24</v>
      </c>
      <c r="G128" s="4" t="s">
        <v>31</v>
      </c>
      <c r="H128" s="4" t="s">
        <v>29</v>
      </c>
      <c r="I128" s="16" t="n">
        <f aca="false">SUMIFS('Por Fragrância'!$H$5:$H$192,'Por Fragrância'!$A$5:$A$192,$B128,'Por Fragrância'!$B$5:$B$192,$C128,'Por Fragrância'!$C$5:$C$192,$D128,'Por Fragrância'!$D$5:$D$192,$F128,'Por Fragrância'!$E$5:$E$192,$G128)</f>
        <v>0</v>
      </c>
      <c r="J128" s="16" t="n">
        <f aca="false">SUMIFS('Por Fragrância'!$I$5:$I$192,'Por Fragrância'!$A$5:$A$192,$B128,'Por Fragrância'!$B$5:$B$192,$C128,'Por Fragrância'!$C$5:$C$192,$D128,'Por Fragrância'!$D$5:$D$192,$F128,'Por Fragrância'!$E$5:$E$192,$G128)</f>
        <v>14</v>
      </c>
      <c r="K128" s="18" t="n">
        <f aca="false">IF($B$6=0,0,J128/$B$6)</f>
        <v>1.54393115942029</v>
      </c>
      <c r="L128" s="16" t="n">
        <f aca="false">ROUNDUP(K128*$B$7,0)</f>
        <v>19</v>
      </c>
      <c r="M128" s="17" t="n">
        <f aca="false">I128+L128</f>
        <v>19</v>
      </c>
    </row>
    <row r="129" customFormat="false" ht="15" hidden="false" customHeight="false" outlineLevel="0" collapsed="false">
      <c r="A129" s="4" t="s">
        <v>225</v>
      </c>
      <c r="B129" s="4" t="s">
        <v>38</v>
      </c>
      <c r="C129" s="4" t="s">
        <v>33</v>
      </c>
      <c r="D129" s="4" t="n">
        <v>500</v>
      </c>
      <c r="E129" s="4" t="s">
        <v>30</v>
      </c>
      <c r="F129" s="4" t="s">
        <v>24</v>
      </c>
      <c r="G129" s="4" t="s">
        <v>31</v>
      </c>
      <c r="H129" s="4" t="s">
        <v>33</v>
      </c>
      <c r="I129" s="16" t="n">
        <f aca="false">SUMIFS('Por Fragrância'!$H$5:$H$192,'Por Fragrância'!$A$5:$A$192,$B129,'Por Fragrância'!$B$5:$B$192,$C129,'Por Fragrância'!$C$5:$C$192,$D129,'Por Fragrância'!$D$5:$D$192,$F129,'Por Fragrância'!$E$5:$E$192,$G129)</f>
        <v>0</v>
      </c>
      <c r="J129" s="16" t="n">
        <f aca="false">SUMIFS('Por Fragrância'!$I$5:$I$192,'Por Fragrância'!$A$5:$A$192,$B129,'Por Fragrância'!$B$5:$B$192,$C129,'Por Fragrância'!$C$5:$C$192,$D129,'Por Fragrância'!$D$5:$D$192,$F129,'Por Fragrância'!$E$5:$E$192,$G129)</f>
        <v>43</v>
      </c>
      <c r="K129" s="18" t="n">
        <f aca="false">IF($B$6=0,0,J129/$B$6)</f>
        <v>4.74207427536232</v>
      </c>
      <c r="L129" s="16" t="n">
        <f aca="false">ROUNDUP(K129*$B$7,0)</f>
        <v>57</v>
      </c>
      <c r="M129" s="17" t="n">
        <f aca="false">I129+L129</f>
        <v>57</v>
      </c>
    </row>
    <row r="130" customFormat="false" ht="15" hidden="false" customHeight="false" outlineLevel="0" collapsed="false">
      <c r="A130" s="4" t="s">
        <v>226</v>
      </c>
      <c r="B130" s="4" t="s">
        <v>40</v>
      </c>
      <c r="C130" s="4" t="s">
        <v>33</v>
      </c>
      <c r="D130" s="4" t="n">
        <v>500</v>
      </c>
      <c r="E130" s="4" t="s">
        <v>30</v>
      </c>
      <c r="F130" s="4" t="s">
        <v>24</v>
      </c>
      <c r="G130" s="4" t="s">
        <v>31</v>
      </c>
      <c r="H130" s="4" t="s">
        <v>33</v>
      </c>
      <c r="I130" s="16" t="n">
        <f aca="false">SUMIFS('Por Fragrância'!$H$5:$H$192,'Por Fragrância'!$A$5:$A$192,$B130,'Por Fragrância'!$B$5:$B$192,$C130,'Por Fragrância'!$C$5:$C$192,$D130,'Por Fragrância'!$D$5:$D$192,$F130,'Por Fragrância'!$E$5:$E$192,$G130)</f>
        <v>0</v>
      </c>
      <c r="J130" s="16" t="n">
        <f aca="false">SUMIFS('Por Fragrância'!$I$5:$I$192,'Por Fragrância'!$A$5:$A$192,$B130,'Por Fragrância'!$B$5:$B$192,$C130,'Por Fragrância'!$C$5:$C$192,$D130,'Por Fragrância'!$D$5:$D$192,$F130,'Por Fragrância'!$E$5:$E$192,$G130)</f>
        <v>2</v>
      </c>
      <c r="K130" s="18" t="n">
        <f aca="false">IF($B$6=0,0,J130/$B$6)</f>
        <v>0.220561594202899</v>
      </c>
      <c r="L130" s="16" t="n">
        <f aca="false">ROUNDUP(K130*$B$7,0)</f>
        <v>3</v>
      </c>
      <c r="M130" s="17" t="n">
        <f aca="false">I130+L130</f>
        <v>3</v>
      </c>
    </row>
    <row r="131" customFormat="false" ht="15" hidden="false" customHeight="false" outlineLevel="0" collapsed="false">
      <c r="A131" s="4" t="s">
        <v>227</v>
      </c>
      <c r="B131" s="4" t="s">
        <v>41</v>
      </c>
      <c r="C131" s="4" t="s">
        <v>12</v>
      </c>
      <c r="D131" s="4" t="n">
        <v>500</v>
      </c>
      <c r="E131" s="4" t="s">
        <v>192</v>
      </c>
      <c r="F131" s="4" t="s">
        <v>24</v>
      </c>
      <c r="G131" s="4" t="s">
        <v>31</v>
      </c>
      <c r="H131" s="4" t="s">
        <v>228</v>
      </c>
      <c r="I131" s="16" t="n">
        <f aca="false">SUMIFS('Por Fragrância'!$H$5:$H$192,'Por Fragrância'!$A$5:$A$192,$B131,'Por Fragrância'!$B$5:$B$192,$C131,'Por Fragrância'!$C$5:$C$192,$D131,'Por Fragrância'!$D$5:$D$192,$F131,'Por Fragrância'!$E$5:$E$192,$G131)</f>
        <v>10</v>
      </c>
      <c r="J131" s="16" t="n">
        <f aca="false">SUMIFS('Por Fragrância'!$I$5:$I$192,'Por Fragrância'!$A$5:$A$192,$B131,'Por Fragrância'!$B$5:$B$192,$C131,'Por Fragrância'!$C$5:$C$192,$D131,'Por Fragrância'!$D$5:$D$192,$F131,'Por Fragrância'!$E$5:$E$192,$G131)</f>
        <v>40</v>
      </c>
      <c r="K131" s="18" t="n">
        <f aca="false">IF($B$6=0,0,J131/$B$6)</f>
        <v>4.41123188405797</v>
      </c>
      <c r="L131" s="16" t="n">
        <f aca="false">ROUNDUP(K131*$B$7,0)</f>
        <v>53</v>
      </c>
      <c r="M131" s="17" t="n">
        <f aca="false">I131+L131</f>
        <v>63</v>
      </c>
    </row>
    <row r="132" customFormat="false" ht="15" hidden="false" customHeight="false" outlineLevel="0" collapsed="false">
      <c r="A132" s="4" t="s">
        <v>229</v>
      </c>
      <c r="B132" s="4" t="s">
        <v>41</v>
      </c>
      <c r="C132" s="4" t="s">
        <v>33</v>
      </c>
      <c r="D132" s="4" t="n">
        <v>500</v>
      </c>
      <c r="E132" s="4" t="s">
        <v>30</v>
      </c>
      <c r="F132" s="4" t="s">
        <v>24</v>
      </c>
      <c r="G132" s="4" t="s">
        <v>31</v>
      </c>
      <c r="H132" s="4" t="s">
        <v>33</v>
      </c>
      <c r="I132" s="16" t="n">
        <f aca="false">SUMIFS('Por Fragrância'!$H$5:$H$192,'Por Fragrância'!$A$5:$A$192,$B132,'Por Fragrância'!$B$5:$B$192,$C132,'Por Fragrância'!$C$5:$C$192,$D132,'Por Fragrância'!$D$5:$D$192,$F132,'Por Fragrância'!$E$5:$E$192,$G132)</f>
        <v>0</v>
      </c>
      <c r="J132" s="16" t="n">
        <f aca="false">SUMIFS('Por Fragrância'!$I$5:$I$192,'Por Fragrância'!$A$5:$A$192,$B132,'Por Fragrância'!$B$5:$B$192,$C132,'Por Fragrância'!$C$5:$C$192,$D132,'Por Fragrância'!$D$5:$D$192,$F132,'Por Fragrância'!$E$5:$E$192,$G132)</f>
        <v>4</v>
      </c>
      <c r="K132" s="18" t="n">
        <f aca="false">IF($B$6=0,0,J132/$B$6)</f>
        <v>0.441123188405797</v>
      </c>
      <c r="L132" s="16" t="n">
        <f aca="false">ROUNDUP(K132*$B$7,0)</f>
        <v>6</v>
      </c>
      <c r="M132" s="17" t="n">
        <f aca="false">I132+L132</f>
        <v>6</v>
      </c>
    </row>
    <row r="133" customFormat="false" ht="15" hidden="false" customHeight="false" outlineLevel="0" collapsed="false">
      <c r="A133" s="4" t="s">
        <v>230</v>
      </c>
      <c r="B133" s="4" t="s">
        <v>42</v>
      </c>
      <c r="C133" s="4" t="s">
        <v>29</v>
      </c>
      <c r="D133" s="4" t="n">
        <v>400</v>
      </c>
      <c r="E133" s="4" t="s">
        <v>30</v>
      </c>
      <c r="F133" s="4" t="s">
        <v>24</v>
      </c>
      <c r="G133" s="4" t="s">
        <v>31</v>
      </c>
      <c r="H133" s="4" t="s">
        <v>29</v>
      </c>
      <c r="I133" s="16" t="n">
        <f aca="false">SUMIFS('Por Fragrância'!$H$5:$H$192,'Por Fragrância'!$A$5:$A$192,$B133,'Por Fragrância'!$B$5:$B$192,$C133,'Por Fragrância'!$C$5:$C$192,$D133,'Por Fragrância'!$D$5:$D$192,$F133,'Por Fragrância'!$E$5:$E$192,$G133)</f>
        <v>0</v>
      </c>
      <c r="J133" s="16" t="n">
        <f aca="false">SUMIFS('Por Fragrância'!$I$5:$I$192,'Por Fragrância'!$A$5:$A$192,$B133,'Por Fragrância'!$B$5:$B$192,$C133,'Por Fragrância'!$C$5:$C$192,$D133,'Por Fragrância'!$D$5:$D$192,$F133,'Por Fragrância'!$E$5:$E$192,$G133)</f>
        <v>6</v>
      </c>
      <c r="K133" s="18" t="n">
        <f aca="false">IF($B$6=0,0,J133/$B$6)</f>
        <v>0.661684782608696</v>
      </c>
      <c r="L133" s="16" t="n">
        <f aca="false">ROUNDUP(K133*$B$7,0)</f>
        <v>8</v>
      </c>
      <c r="M133" s="17" t="n">
        <f aca="false">I133+L133</f>
        <v>8</v>
      </c>
    </row>
    <row r="134" customFormat="false" ht="15" hidden="false" customHeight="false" outlineLevel="0" collapsed="false">
      <c r="A134" s="4" t="s">
        <v>231</v>
      </c>
      <c r="B134" s="4" t="s">
        <v>43</v>
      </c>
      <c r="C134" s="4" t="s">
        <v>12</v>
      </c>
      <c r="D134" s="4" t="n">
        <v>500</v>
      </c>
      <c r="E134" s="4" t="s">
        <v>15</v>
      </c>
      <c r="F134" s="4" t="s">
        <v>24</v>
      </c>
      <c r="G134" s="4" t="s">
        <v>31</v>
      </c>
      <c r="H134" s="4" t="s">
        <v>35</v>
      </c>
      <c r="I134" s="16" t="n">
        <f aca="false">SUMIFS('Por Fragrância'!$H$5:$H$192,'Por Fragrância'!$A$5:$A$192,$B134,'Por Fragrância'!$B$5:$B$192,$C134,'Por Fragrância'!$C$5:$C$192,$D134,'Por Fragrância'!$D$5:$D$192,$F134,'Por Fragrância'!$E$5:$E$192,$G134)</f>
        <v>10</v>
      </c>
      <c r="J134" s="16" t="n">
        <f aca="false">SUMIFS('Por Fragrância'!$I$5:$I$192,'Por Fragrância'!$A$5:$A$192,$B134,'Por Fragrância'!$B$5:$B$192,$C134,'Por Fragrância'!$C$5:$C$192,$D134,'Por Fragrância'!$D$5:$D$192,$F134,'Por Fragrância'!$E$5:$E$192,$G134)</f>
        <v>0</v>
      </c>
      <c r="K134" s="18" t="n">
        <f aca="false">IF($B$6=0,0,J134/$B$6)</f>
        <v>0</v>
      </c>
      <c r="L134" s="16" t="n">
        <f aca="false">ROUNDUP(K134*$B$7,0)</f>
        <v>0</v>
      </c>
      <c r="M134" s="17" t="n">
        <f aca="false">I134+L134</f>
        <v>10</v>
      </c>
    </row>
    <row r="135" customFormat="false" ht="15" hidden="false" customHeight="false" outlineLevel="0" collapsed="false">
      <c r="A135" s="4" t="s">
        <v>232</v>
      </c>
      <c r="B135" s="4" t="s">
        <v>43</v>
      </c>
      <c r="C135" s="4" t="s">
        <v>33</v>
      </c>
      <c r="D135" s="4" t="n">
        <v>500</v>
      </c>
      <c r="E135" s="4" t="s">
        <v>30</v>
      </c>
      <c r="F135" s="4" t="s">
        <v>24</v>
      </c>
      <c r="G135" s="4" t="s">
        <v>31</v>
      </c>
      <c r="H135" s="4" t="s">
        <v>33</v>
      </c>
      <c r="I135" s="16" t="n">
        <f aca="false">SUMIFS('Por Fragrância'!$H$5:$H$192,'Por Fragrância'!$A$5:$A$192,$B135,'Por Fragrância'!$B$5:$B$192,$C135,'Por Fragrância'!$C$5:$C$192,$D135,'Por Fragrância'!$D$5:$D$192,$F135,'Por Fragrância'!$E$5:$E$192,$G135)</f>
        <v>0</v>
      </c>
      <c r="J135" s="16" t="n">
        <f aca="false">SUMIFS('Por Fragrância'!$I$5:$I$192,'Por Fragrância'!$A$5:$A$192,$B135,'Por Fragrância'!$B$5:$B$192,$C135,'Por Fragrância'!$C$5:$C$192,$D135,'Por Fragrância'!$D$5:$D$192,$F135,'Por Fragrância'!$E$5:$E$192,$G135)</f>
        <v>1</v>
      </c>
      <c r="K135" s="18" t="n">
        <f aca="false">IF($B$6=0,0,J135/$B$6)</f>
        <v>0.110280797101449</v>
      </c>
      <c r="L135" s="16" t="n">
        <f aca="false">ROUNDUP(K135*$B$7,0)</f>
        <v>2</v>
      </c>
      <c r="M135" s="17" t="n">
        <f aca="false">I135+L135</f>
        <v>2</v>
      </c>
    </row>
    <row r="136" customFormat="false" ht="15" hidden="false" customHeight="false" outlineLevel="0" collapsed="false">
      <c r="A136" s="4" t="s">
        <v>233</v>
      </c>
      <c r="B136" s="4" t="s">
        <v>45</v>
      </c>
      <c r="C136" s="4" t="s">
        <v>29</v>
      </c>
      <c r="D136" s="4" t="n">
        <v>400</v>
      </c>
      <c r="E136" s="4" t="s">
        <v>30</v>
      </c>
      <c r="F136" s="4" t="s">
        <v>24</v>
      </c>
      <c r="G136" s="4" t="s">
        <v>31</v>
      </c>
      <c r="H136" s="4" t="s">
        <v>29</v>
      </c>
      <c r="I136" s="16" t="n">
        <f aca="false">SUMIFS('Por Fragrância'!$H$5:$H$192,'Por Fragrância'!$A$5:$A$192,$B136,'Por Fragrância'!$B$5:$B$192,$C136,'Por Fragrância'!$C$5:$C$192,$D136,'Por Fragrância'!$D$5:$D$192,$F136,'Por Fragrância'!$E$5:$E$192,$G136)</f>
        <v>0</v>
      </c>
      <c r="J136" s="16" t="n">
        <f aca="false">SUMIFS('Por Fragrância'!$I$5:$I$192,'Por Fragrância'!$A$5:$A$192,$B136,'Por Fragrância'!$B$5:$B$192,$C136,'Por Fragrância'!$C$5:$C$192,$D136,'Por Fragrância'!$D$5:$D$192,$F136,'Por Fragrância'!$E$5:$E$192,$G136)</f>
        <v>24</v>
      </c>
      <c r="K136" s="18" t="n">
        <f aca="false">IF($B$6=0,0,J136/$B$6)</f>
        <v>2.64673913043478</v>
      </c>
      <c r="L136" s="16" t="n">
        <f aca="false">ROUNDUP(K136*$B$7,0)</f>
        <v>32</v>
      </c>
      <c r="M136" s="17" t="n">
        <f aca="false">I136+L136</f>
        <v>32</v>
      </c>
    </row>
    <row r="137" customFormat="false" ht="15" hidden="false" customHeight="false" outlineLevel="0" collapsed="false">
      <c r="A137" s="4" t="s">
        <v>234</v>
      </c>
      <c r="B137" s="4" t="s">
        <v>45</v>
      </c>
      <c r="C137" s="4" t="s">
        <v>33</v>
      </c>
      <c r="D137" s="4" t="n">
        <v>500</v>
      </c>
      <c r="E137" s="4" t="s">
        <v>30</v>
      </c>
      <c r="F137" s="4" t="s">
        <v>24</v>
      </c>
      <c r="G137" s="4" t="s">
        <v>31</v>
      </c>
      <c r="H137" s="4" t="s">
        <v>33</v>
      </c>
      <c r="I137" s="16" t="n">
        <f aca="false">SUMIFS('Por Fragrância'!$H$5:$H$192,'Por Fragrância'!$A$5:$A$192,$B137,'Por Fragrância'!$B$5:$B$192,$C137,'Por Fragrância'!$C$5:$C$192,$D137,'Por Fragrância'!$D$5:$D$192,$F137,'Por Fragrância'!$E$5:$E$192,$G137)</f>
        <v>0</v>
      </c>
      <c r="J137" s="16" t="n">
        <f aca="false">SUMIFS('Por Fragrância'!$I$5:$I$192,'Por Fragrância'!$A$5:$A$192,$B137,'Por Fragrância'!$B$5:$B$192,$C137,'Por Fragrância'!$C$5:$C$192,$D137,'Por Fragrância'!$D$5:$D$192,$F137,'Por Fragrância'!$E$5:$E$192,$G137)</f>
        <v>13</v>
      </c>
      <c r="K137" s="18" t="n">
        <f aca="false">IF($B$6=0,0,J137/$B$6)</f>
        <v>1.43365036231884</v>
      </c>
      <c r="L137" s="16" t="n">
        <f aca="false">ROUNDUP(K137*$B$7,0)</f>
        <v>18</v>
      </c>
      <c r="M137" s="17" t="n">
        <f aca="false">I137+L137</f>
        <v>18</v>
      </c>
    </row>
    <row r="138" customFormat="false" ht="15" hidden="false" customHeight="false" outlineLevel="0" collapsed="false">
      <c r="A138" s="4" t="s">
        <v>235</v>
      </c>
      <c r="B138" s="4" t="s">
        <v>45</v>
      </c>
      <c r="C138" s="4" t="s">
        <v>18</v>
      </c>
      <c r="D138" s="4" t="n">
        <v>500</v>
      </c>
      <c r="E138" s="4" t="s">
        <v>30</v>
      </c>
      <c r="F138" s="4" t="s">
        <v>24</v>
      </c>
      <c r="G138" s="4" t="s">
        <v>31</v>
      </c>
      <c r="H138" s="4" t="s">
        <v>18</v>
      </c>
      <c r="I138" s="16" t="n">
        <f aca="false">SUMIFS('Por Fragrância'!$H$5:$H$192,'Por Fragrância'!$A$5:$A$192,$B138,'Por Fragrância'!$B$5:$B$192,$C138,'Por Fragrância'!$C$5:$C$192,$D138,'Por Fragrância'!$D$5:$D$192,$F138,'Por Fragrância'!$E$5:$E$192,$G138)</f>
        <v>0</v>
      </c>
      <c r="J138" s="16" t="n">
        <f aca="false">SUMIFS('Por Fragrância'!$I$5:$I$192,'Por Fragrância'!$A$5:$A$192,$B138,'Por Fragrância'!$B$5:$B$192,$C138,'Por Fragrância'!$C$5:$C$192,$D138,'Por Fragrância'!$D$5:$D$192,$F138,'Por Fragrância'!$E$5:$E$192,$G138)</f>
        <v>16</v>
      </c>
      <c r="K138" s="18" t="n">
        <f aca="false">IF($B$6=0,0,J138/$B$6)</f>
        <v>1.76449275362319</v>
      </c>
      <c r="L138" s="16" t="n">
        <f aca="false">ROUNDUP(K138*$B$7,0)</f>
        <v>22</v>
      </c>
      <c r="M138" s="17" t="n">
        <f aca="false">I138+L138</f>
        <v>22</v>
      </c>
    </row>
    <row r="139" customFormat="false" ht="15" hidden="false" customHeight="false" outlineLevel="0" collapsed="false">
      <c r="A139" s="4" t="s">
        <v>236</v>
      </c>
      <c r="B139" s="4" t="s">
        <v>46</v>
      </c>
      <c r="C139" s="4" t="s">
        <v>29</v>
      </c>
      <c r="D139" s="4" t="n">
        <v>400</v>
      </c>
      <c r="E139" s="4" t="s">
        <v>30</v>
      </c>
      <c r="F139" s="4" t="s">
        <v>24</v>
      </c>
      <c r="G139" s="4" t="s">
        <v>31</v>
      </c>
      <c r="H139" s="4" t="s">
        <v>29</v>
      </c>
      <c r="I139" s="16" t="n">
        <f aca="false">SUMIFS('Por Fragrância'!$H$5:$H$192,'Por Fragrância'!$A$5:$A$192,$B139,'Por Fragrância'!$B$5:$B$192,$C139,'Por Fragrância'!$C$5:$C$192,$D139,'Por Fragrância'!$D$5:$D$192,$F139,'Por Fragrância'!$E$5:$E$192,$G139)</f>
        <v>0</v>
      </c>
      <c r="J139" s="16" t="n">
        <f aca="false">SUMIFS('Por Fragrância'!$I$5:$I$192,'Por Fragrância'!$A$5:$A$192,$B139,'Por Fragrância'!$B$5:$B$192,$C139,'Por Fragrância'!$C$5:$C$192,$D139,'Por Fragrância'!$D$5:$D$192,$F139,'Por Fragrância'!$E$5:$E$192,$G139)</f>
        <v>18</v>
      </c>
      <c r="K139" s="18" t="n">
        <f aca="false">IF($B$6=0,0,J139/$B$6)</f>
        <v>1.98505434782609</v>
      </c>
      <c r="L139" s="16" t="n">
        <f aca="false">ROUNDUP(K139*$B$7,0)</f>
        <v>24</v>
      </c>
      <c r="M139" s="17" t="n">
        <f aca="false">I139+L139</f>
        <v>24</v>
      </c>
    </row>
    <row r="140" customFormat="false" ht="15" hidden="false" customHeight="false" outlineLevel="0" collapsed="false">
      <c r="A140" s="4" t="s">
        <v>237</v>
      </c>
      <c r="B140" s="4" t="s">
        <v>48</v>
      </c>
      <c r="C140" s="4" t="s">
        <v>12</v>
      </c>
      <c r="D140" s="4" t="n">
        <v>500</v>
      </c>
      <c r="E140" s="4" t="s">
        <v>15</v>
      </c>
      <c r="F140" s="4" t="s">
        <v>24</v>
      </c>
      <c r="G140" s="4" t="s">
        <v>31</v>
      </c>
      <c r="H140" s="4" t="s">
        <v>35</v>
      </c>
      <c r="I140" s="16" t="n">
        <f aca="false">SUMIFS('Por Fragrância'!$H$5:$H$192,'Por Fragrância'!$A$5:$A$192,$B140,'Por Fragrância'!$B$5:$B$192,$C140,'Por Fragrância'!$C$5:$C$192,$D140,'Por Fragrância'!$D$5:$D$192,$F140,'Por Fragrância'!$E$5:$E$192,$G140)</f>
        <v>10</v>
      </c>
      <c r="J140" s="16" t="n">
        <f aca="false">SUMIFS('Por Fragrância'!$I$5:$I$192,'Por Fragrância'!$A$5:$A$192,$B140,'Por Fragrância'!$B$5:$B$192,$C140,'Por Fragrância'!$C$5:$C$192,$D140,'Por Fragrância'!$D$5:$D$192,$F140,'Por Fragrância'!$E$5:$E$192,$G140)</f>
        <v>0</v>
      </c>
      <c r="K140" s="18" t="n">
        <f aca="false">IF($B$6=0,0,J140/$B$6)</f>
        <v>0</v>
      </c>
      <c r="L140" s="16" t="n">
        <f aca="false">ROUNDUP(K140*$B$7,0)</f>
        <v>0</v>
      </c>
      <c r="M140" s="17" t="n">
        <f aca="false">I140+L140</f>
        <v>10</v>
      </c>
    </row>
    <row r="141" customFormat="false" ht="15" hidden="false" customHeight="false" outlineLevel="0" collapsed="false">
      <c r="A141" s="4" t="s">
        <v>238</v>
      </c>
      <c r="B141" s="4" t="s">
        <v>48</v>
      </c>
      <c r="C141" s="4" t="s">
        <v>29</v>
      </c>
      <c r="D141" s="4" t="n">
        <v>400</v>
      </c>
      <c r="E141" s="4" t="s">
        <v>30</v>
      </c>
      <c r="F141" s="4" t="s">
        <v>24</v>
      </c>
      <c r="G141" s="4" t="s">
        <v>31</v>
      </c>
      <c r="H141" s="4" t="s">
        <v>29</v>
      </c>
      <c r="I141" s="16" t="n">
        <f aca="false">SUMIFS('Por Fragrância'!$H$5:$H$192,'Por Fragrância'!$A$5:$A$192,$B141,'Por Fragrância'!$B$5:$B$192,$C141,'Por Fragrância'!$C$5:$C$192,$D141,'Por Fragrância'!$D$5:$D$192,$F141,'Por Fragrância'!$E$5:$E$192,$G141)</f>
        <v>0</v>
      </c>
      <c r="J141" s="16" t="n">
        <f aca="false">SUMIFS('Por Fragrância'!$I$5:$I$192,'Por Fragrância'!$A$5:$A$192,$B141,'Por Fragrância'!$B$5:$B$192,$C141,'Por Fragrância'!$C$5:$C$192,$D141,'Por Fragrância'!$D$5:$D$192,$F141,'Por Fragrância'!$E$5:$E$192,$G141)</f>
        <v>31</v>
      </c>
      <c r="K141" s="18" t="n">
        <f aca="false">IF($B$6=0,0,J141/$B$6)</f>
        <v>3.41870471014493</v>
      </c>
      <c r="L141" s="16" t="n">
        <f aca="false">ROUNDUP(K141*$B$7,0)</f>
        <v>42</v>
      </c>
      <c r="M141" s="17" t="n">
        <f aca="false">I141+L141</f>
        <v>42</v>
      </c>
    </row>
    <row r="142" customFormat="false" ht="15" hidden="false" customHeight="false" outlineLevel="0" collapsed="false">
      <c r="A142" s="4" t="s">
        <v>239</v>
      </c>
      <c r="B142" s="4" t="s">
        <v>48</v>
      </c>
      <c r="C142" s="4" t="s">
        <v>33</v>
      </c>
      <c r="D142" s="4" t="n">
        <v>500</v>
      </c>
      <c r="E142" s="4" t="s">
        <v>30</v>
      </c>
      <c r="F142" s="4" t="s">
        <v>24</v>
      </c>
      <c r="G142" s="4" t="s">
        <v>31</v>
      </c>
      <c r="H142" s="4" t="s">
        <v>33</v>
      </c>
      <c r="I142" s="16" t="n">
        <f aca="false">SUMIFS('Por Fragrância'!$H$5:$H$192,'Por Fragrância'!$A$5:$A$192,$B142,'Por Fragrância'!$B$5:$B$192,$C142,'Por Fragrância'!$C$5:$C$192,$D142,'Por Fragrância'!$D$5:$D$192,$F142,'Por Fragrância'!$E$5:$E$192,$G142)</f>
        <v>0</v>
      </c>
      <c r="J142" s="16" t="n">
        <f aca="false">SUMIFS('Por Fragrância'!$I$5:$I$192,'Por Fragrância'!$A$5:$A$192,$B142,'Por Fragrância'!$B$5:$B$192,$C142,'Por Fragrância'!$C$5:$C$192,$D142,'Por Fragrância'!$D$5:$D$192,$F142,'Por Fragrância'!$E$5:$E$192,$G142)</f>
        <v>128</v>
      </c>
      <c r="K142" s="18" t="n">
        <f aca="false">IF($B$6=0,0,J142/$B$6)</f>
        <v>14.1159420289855</v>
      </c>
      <c r="L142" s="16" t="n">
        <f aca="false">ROUNDUP(K142*$B$7,0)</f>
        <v>170</v>
      </c>
      <c r="M142" s="17" t="n">
        <f aca="false">I142+L142</f>
        <v>170</v>
      </c>
    </row>
    <row r="143" customFormat="false" ht="15" hidden="false" customHeight="false" outlineLevel="0" collapsed="false">
      <c r="A143" s="4" t="s">
        <v>240</v>
      </c>
      <c r="B143" s="4" t="s">
        <v>50</v>
      </c>
      <c r="C143" s="4" t="s">
        <v>33</v>
      </c>
      <c r="D143" s="4" t="n">
        <v>500</v>
      </c>
      <c r="E143" s="4" t="s">
        <v>30</v>
      </c>
      <c r="F143" s="4" t="s">
        <v>24</v>
      </c>
      <c r="G143" s="4" t="s">
        <v>31</v>
      </c>
      <c r="H143" s="4" t="s">
        <v>33</v>
      </c>
      <c r="I143" s="16" t="n">
        <f aca="false">SUMIFS('Por Fragrância'!$H$5:$H$192,'Por Fragrância'!$A$5:$A$192,$B143,'Por Fragrância'!$B$5:$B$192,$C143,'Por Fragrância'!$C$5:$C$192,$D143,'Por Fragrância'!$D$5:$D$192,$F143,'Por Fragrância'!$E$5:$E$192,$G143)</f>
        <v>0</v>
      </c>
      <c r="J143" s="16" t="n">
        <f aca="false">SUMIFS('Por Fragrância'!$I$5:$I$192,'Por Fragrância'!$A$5:$A$192,$B143,'Por Fragrância'!$B$5:$B$192,$C143,'Por Fragrância'!$C$5:$C$192,$D143,'Por Fragrância'!$D$5:$D$192,$F143,'Por Fragrância'!$E$5:$E$192,$G143)</f>
        <v>19</v>
      </c>
      <c r="K143" s="18" t="n">
        <f aca="false">IF($B$6=0,0,J143/$B$6)</f>
        <v>2.09533514492754</v>
      </c>
      <c r="L143" s="16" t="n">
        <f aca="false">ROUNDUP(K143*$B$7,0)</f>
        <v>26</v>
      </c>
      <c r="M143" s="17" t="n">
        <f aca="false">I143+L143</f>
        <v>26</v>
      </c>
    </row>
    <row r="144" customFormat="false" ht="15" hidden="false" customHeight="false" outlineLevel="0" collapsed="false">
      <c r="A144" s="4" t="s">
        <v>241</v>
      </c>
      <c r="B144" s="4" t="s">
        <v>51</v>
      </c>
      <c r="C144" s="4" t="s">
        <v>33</v>
      </c>
      <c r="D144" s="4" t="n">
        <v>500</v>
      </c>
      <c r="E144" s="4" t="s">
        <v>30</v>
      </c>
      <c r="F144" s="4" t="s">
        <v>24</v>
      </c>
      <c r="G144" s="4" t="s">
        <v>31</v>
      </c>
      <c r="H144" s="4" t="s">
        <v>33</v>
      </c>
      <c r="I144" s="16" t="n">
        <f aca="false">SUMIFS('Por Fragrância'!$H$5:$H$192,'Por Fragrância'!$A$5:$A$192,$B144,'Por Fragrância'!$B$5:$B$192,$C144,'Por Fragrância'!$C$5:$C$192,$D144,'Por Fragrância'!$D$5:$D$192,$F144,'Por Fragrância'!$E$5:$E$192,$G144)</f>
        <v>0</v>
      </c>
      <c r="J144" s="16" t="n">
        <f aca="false">SUMIFS('Por Fragrância'!$I$5:$I$192,'Por Fragrância'!$A$5:$A$192,$B144,'Por Fragrância'!$B$5:$B$192,$C144,'Por Fragrância'!$C$5:$C$192,$D144,'Por Fragrância'!$D$5:$D$192,$F144,'Por Fragrância'!$E$5:$E$192,$G144)</f>
        <v>27</v>
      </c>
      <c r="K144" s="18" t="n">
        <f aca="false">IF($B$6=0,0,J144/$B$6)</f>
        <v>2.97758152173913</v>
      </c>
      <c r="L144" s="16" t="n">
        <f aca="false">ROUNDUP(K144*$B$7,0)</f>
        <v>36</v>
      </c>
      <c r="M144" s="17" t="n">
        <f aca="false">I144+L144</f>
        <v>36</v>
      </c>
    </row>
    <row r="145" customFormat="false" ht="15" hidden="false" customHeight="false" outlineLevel="0" collapsed="false">
      <c r="A145" s="4" t="s">
        <v>242</v>
      </c>
      <c r="B145" s="4" t="s">
        <v>52</v>
      </c>
      <c r="C145" s="4" t="s">
        <v>29</v>
      </c>
      <c r="D145" s="4" t="n">
        <v>400</v>
      </c>
      <c r="E145" s="4" t="s">
        <v>30</v>
      </c>
      <c r="F145" s="4" t="s">
        <v>24</v>
      </c>
      <c r="G145" s="4" t="s">
        <v>31</v>
      </c>
      <c r="H145" s="4" t="s">
        <v>29</v>
      </c>
      <c r="I145" s="16" t="n">
        <f aca="false">SUMIFS('Por Fragrância'!$H$5:$H$192,'Por Fragrância'!$A$5:$A$192,$B145,'Por Fragrância'!$B$5:$B$192,$C145,'Por Fragrância'!$C$5:$C$192,$D145,'Por Fragrância'!$D$5:$D$192,$F145,'Por Fragrância'!$E$5:$E$192,$G145)</f>
        <v>0</v>
      </c>
      <c r="J145" s="16" t="n">
        <f aca="false">SUMIFS('Por Fragrância'!$I$5:$I$192,'Por Fragrância'!$A$5:$A$192,$B145,'Por Fragrância'!$B$5:$B$192,$C145,'Por Fragrância'!$C$5:$C$192,$D145,'Por Fragrância'!$D$5:$D$192,$F145,'Por Fragrância'!$E$5:$E$192,$G145)</f>
        <v>2</v>
      </c>
      <c r="K145" s="18" t="n">
        <f aca="false">IF($B$6=0,0,J145/$B$6)</f>
        <v>0.220561594202899</v>
      </c>
      <c r="L145" s="16" t="n">
        <f aca="false">ROUNDUP(K145*$B$7,0)</f>
        <v>3</v>
      </c>
      <c r="M145" s="17" t="n">
        <f aca="false">I145+L145</f>
        <v>3</v>
      </c>
    </row>
    <row r="146" customFormat="false" ht="15" hidden="false" customHeight="false" outlineLevel="0" collapsed="false">
      <c r="A146" s="4" t="s">
        <v>243</v>
      </c>
      <c r="B146" s="4" t="s">
        <v>54</v>
      </c>
      <c r="C146" s="4" t="s">
        <v>29</v>
      </c>
      <c r="D146" s="4" t="n">
        <v>400</v>
      </c>
      <c r="E146" s="4" t="s">
        <v>30</v>
      </c>
      <c r="F146" s="4" t="s">
        <v>24</v>
      </c>
      <c r="G146" s="4" t="s">
        <v>31</v>
      </c>
      <c r="H146" s="4" t="s">
        <v>29</v>
      </c>
      <c r="I146" s="16" t="n">
        <f aca="false">SUMIFS('Por Fragrância'!$H$5:$H$192,'Por Fragrância'!$A$5:$A$192,$B146,'Por Fragrância'!$B$5:$B$192,$C146,'Por Fragrância'!$C$5:$C$192,$D146,'Por Fragrância'!$D$5:$D$192,$F146,'Por Fragrância'!$E$5:$E$192,$G146)</f>
        <v>0</v>
      </c>
      <c r="J146" s="16" t="n">
        <f aca="false">SUMIFS('Por Fragrância'!$I$5:$I$192,'Por Fragrância'!$A$5:$A$192,$B146,'Por Fragrância'!$B$5:$B$192,$C146,'Por Fragrância'!$C$5:$C$192,$D146,'Por Fragrância'!$D$5:$D$192,$F146,'Por Fragrância'!$E$5:$E$192,$G146)</f>
        <v>16</v>
      </c>
      <c r="K146" s="18" t="n">
        <f aca="false">IF($B$6=0,0,J146/$B$6)</f>
        <v>1.76449275362319</v>
      </c>
      <c r="L146" s="16" t="n">
        <f aca="false">ROUNDUP(K146*$B$7,0)</f>
        <v>22</v>
      </c>
      <c r="M146" s="17" t="n">
        <f aca="false">I146+L146</f>
        <v>22</v>
      </c>
    </row>
    <row r="147" customFormat="false" ht="15" hidden="false" customHeight="false" outlineLevel="0" collapsed="false">
      <c r="A147" s="4" t="s">
        <v>244</v>
      </c>
      <c r="B147" s="4" t="s">
        <v>54</v>
      </c>
      <c r="C147" s="4" t="s">
        <v>33</v>
      </c>
      <c r="D147" s="4" t="n">
        <v>500</v>
      </c>
      <c r="E147" s="4" t="s">
        <v>30</v>
      </c>
      <c r="F147" s="4" t="s">
        <v>24</v>
      </c>
      <c r="G147" s="4" t="s">
        <v>31</v>
      </c>
      <c r="H147" s="4" t="s">
        <v>33</v>
      </c>
      <c r="I147" s="16" t="n">
        <f aca="false">SUMIFS('Por Fragrância'!$H$5:$H$192,'Por Fragrância'!$A$5:$A$192,$B147,'Por Fragrância'!$B$5:$B$192,$C147,'Por Fragrância'!$C$5:$C$192,$D147,'Por Fragrância'!$D$5:$D$192,$F147,'Por Fragrância'!$E$5:$E$192,$G147)</f>
        <v>0</v>
      </c>
      <c r="J147" s="16" t="n">
        <f aca="false">SUMIFS('Por Fragrância'!$I$5:$I$192,'Por Fragrância'!$A$5:$A$192,$B147,'Por Fragrância'!$B$5:$B$192,$C147,'Por Fragrância'!$C$5:$C$192,$D147,'Por Fragrância'!$D$5:$D$192,$F147,'Por Fragrância'!$E$5:$E$192,$G147)</f>
        <v>43</v>
      </c>
      <c r="K147" s="18" t="n">
        <f aca="false">IF($B$6=0,0,J147/$B$6)</f>
        <v>4.74207427536232</v>
      </c>
      <c r="L147" s="16" t="n">
        <f aca="false">ROUNDUP(K147*$B$7,0)</f>
        <v>57</v>
      </c>
      <c r="M147" s="17" t="n">
        <f aca="false">I147+L147</f>
        <v>57</v>
      </c>
    </row>
    <row r="148" customFormat="false" ht="15" hidden="false" customHeight="false" outlineLevel="0" collapsed="false">
      <c r="A148" s="4" t="s">
        <v>245</v>
      </c>
      <c r="B148" s="4" t="s">
        <v>55</v>
      </c>
      <c r="C148" s="4" t="s">
        <v>33</v>
      </c>
      <c r="D148" s="4" t="n">
        <v>500</v>
      </c>
      <c r="E148" s="4" t="s">
        <v>30</v>
      </c>
      <c r="F148" s="4" t="s">
        <v>24</v>
      </c>
      <c r="G148" s="4" t="s">
        <v>31</v>
      </c>
      <c r="H148" s="4" t="s">
        <v>33</v>
      </c>
      <c r="I148" s="16" t="n">
        <f aca="false">SUMIFS('Por Fragrância'!$H$5:$H$192,'Por Fragrância'!$A$5:$A$192,$B148,'Por Fragrância'!$B$5:$B$192,$C148,'Por Fragrância'!$C$5:$C$192,$D148,'Por Fragrância'!$D$5:$D$192,$F148,'Por Fragrância'!$E$5:$E$192,$G148)</f>
        <v>0</v>
      </c>
      <c r="J148" s="16" t="n">
        <f aca="false">SUMIFS('Por Fragrância'!$I$5:$I$192,'Por Fragrância'!$A$5:$A$192,$B148,'Por Fragrância'!$B$5:$B$192,$C148,'Por Fragrância'!$C$5:$C$192,$D148,'Por Fragrância'!$D$5:$D$192,$F148,'Por Fragrância'!$E$5:$E$192,$G148)</f>
        <v>36</v>
      </c>
      <c r="K148" s="18" t="n">
        <f aca="false">IF($B$6=0,0,J148/$B$6)</f>
        <v>3.97010869565217</v>
      </c>
      <c r="L148" s="16" t="n">
        <f aca="false">ROUNDUP(K148*$B$7,0)</f>
        <v>48</v>
      </c>
      <c r="M148" s="17" t="n">
        <f aca="false">I148+L148</f>
        <v>48</v>
      </c>
    </row>
    <row r="149" customFormat="false" ht="15" hidden="false" customHeight="false" outlineLevel="0" collapsed="false">
      <c r="A149" s="4" t="s">
        <v>246</v>
      </c>
      <c r="B149" s="4" t="s">
        <v>56</v>
      </c>
      <c r="C149" s="4" t="s">
        <v>29</v>
      </c>
      <c r="D149" s="4" t="n">
        <v>400</v>
      </c>
      <c r="E149" s="4" t="s">
        <v>30</v>
      </c>
      <c r="F149" s="4" t="s">
        <v>24</v>
      </c>
      <c r="G149" s="4" t="s">
        <v>31</v>
      </c>
      <c r="H149" s="4" t="s">
        <v>29</v>
      </c>
      <c r="I149" s="16" t="n">
        <f aca="false">SUMIFS('Por Fragrância'!$H$5:$H$192,'Por Fragrância'!$A$5:$A$192,$B149,'Por Fragrância'!$B$5:$B$192,$C149,'Por Fragrância'!$C$5:$C$192,$D149,'Por Fragrância'!$D$5:$D$192,$F149,'Por Fragrância'!$E$5:$E$192,$G149)</f>
        <v>0</v>
      </c>
      <c r="J149" s="16" t="n">
        <f aca="false">SUMIFS('Por Fragrância'!$I$5:$I$192,'Por Fragrância'!$A$5:$A$192,$B149,'Por Fragrância'!$B$5:$B$192,$C149,'Por Fragrância'!$C$5:$C$192,$D149,'Por Fragrância'!$D$5:$D$192,$F149,'Por Fragrância'!$E$5:$E$192,$G149)</f>
        <v>13</v>
      </c>
      <c r="K149" s="18" t="n">
        <f aca="false">IF($B$6=0,0,J149/$B$6)</f>
        <v>1.43365036231884</v>
      </c>
      <c r="L149" s="16" t="n">
        <f aca="false">ROUNDUP(K149*$B$7,0)</f>
        <v>18</v>
      </c>
      <c r="M149" s="17" t="n">
        <f aca="false">I149+L149</f>
        <v>18</v>
      </c>
    </row>
    <row r="150" customFormat="false" ht="15" hidden="false" customHeight="false" outlineLevel="0" collapsed="false">
      <c r="A150" s="4" t="s">
        <v>247</v>
      </c>
      <c r="B150" s="4" t="s">
        <v>58</v>
      </c>
      <c r="C150" s="4" t="s">
        <v>29</v>
      </c>
      <c r="D150" s="4" t="n">
        <v>400</v>
      </c>
      <c r="E150" s="4" t="s">
        <v>30</v>
      </c>
      <c r="F150" s="4" t="s">
        <v>24</v>
      </c>
      <c r="G150" s="4" t="s">
        <v>31</v>
      </c>
      <c r="H150" s="4" t="s">
        <v>29</v>
      </c>
      <c r="I150" s="16" t="n">
        <f aca="false">SUMIFS('Por Fragrância'!$H$5:$H$192,'Por Fragrância'!$A$5:$A$192,$B150,'Por Fragrância'!$B$5:$B$192,$C150,'Por Fragrância'!$C$5:$C$192,$D150,'Por Fragrância'!$D$5:$D$192,$F150,'Por Fragrância'!$E$5:$E$192,$G150)</f>
        <v>0</v>
      </c>
      <c r="J150" s="16" t="n">
        <f aca="false">SUMIFS('Por Fragrância'!$I$5:$I$192,'Por Fragrância'!$A$5:$A$192,$B150,'Por Fragrância'!$B$5:$B$192,$C150,'Por Fragrância'!$C$5:$C$192,$D150,'Por Fragrância'!$D$5:$D$192,$F150,'Por Fragrância'!$E$5:$E$192,$G150)</f>
        <v>57</v>
      </c>
      <c r="K150" s="18" t="n">
        <f aca="false">IF($B$6=0,0,J150/$B$6)</f>
        <v>6.28600543478261</v>
      </c>
      <c r="L150" s="16" t="n">
        <f aca="false">ROUNDUP(K150*$B$7,0)</f>
        <v>76</v>
      </c>
      <c r="M150" s="17" t="n">
        <f aca="false">I150+L150</f>
        <v>76</v>
      </c>
    </row>
    <row r="151" customFormat="false" ht="15" hidden="false" customHeight="false" outlineLevel="0" collapsed="false">
      <c r="A151" s="4" t="s">
        <v>248</v>
      </c>
      <c r="B151" s="4" t="s">
        <v>59</v>
      </c>
      <c r="C151" s="4" t="s">
        <v>29</v>
      </c>
      <c r="D151" s="4" t="n">
        <v>400</v>
      </c>
      <c r="E151" s="4" t="s">
        <v>30</v>
      </c>
      <c r="F151" s="4" t="s">
        <v>24</v>
      </c>
      <c r="G151" s="4" t="s">
        <v>31</v>
      </c>
      <c r="H151" s="4" t="s">
        <v>29</v>
      </c>
      <c r="I151" s="16" t="n">
        <f aca="false">SUMIFS('Por Fragrância'!$H$5:$H$192,'Por Fragrância'!$A$5:$A$192,$B151,'Por Fragrância'!$B$5:$B$192,$C151,'Por Fragrância'!$C$5:$C$192,$D151,'Por Fragrância'!$D$5:$D$192,$F151,'Por Fragrância'!$E$5:$E$192,$G151)</f>
        <v>0</v>
      </c>
      <c r="J151" s="16" t="n">
        <f aca="false">SUMIFS('Por Fragrância'!$I$5:$I$192,'Por Fragrância'!$A$5:$A$192,$B151,'Por Fragrância'!$B$5:$B$192,$C151,'Por Fragrância'!$C$5:$C$192,$D151,'Por Fragrância'!$D$5:$D$192,$F151,'Por Fragrância'!$E$5:$E$192,$G151)</f>
        <v>46</v>
      </c>
      <c r="K151" s="18" t="n">
        <f aca="false">IF($B$6=0,0,J151/$B$6)</f>
        <v>5.07291666666667</v>
      </c>
      <c r="L151" s="16" t="n">
        <f aca="false">ROUNDUP(K151*$B$7,0)</f>
        <v>61</v>
      </c>
      <c r="M151" s="17" t="n">
        <f aca="false">I151+L151</f>
        <v>61</v>
      </c>
    </row>
    <row r="152" customFormat="false" ht="15" hidden="false" customHeight="false" outlineLevel="0" collapsed="false">
      <c r="A152" s="4" t="s">
        <v>249</v>
      </c>
      <c r="B152" s="4" t="s">
        <v>60</v>
      </c>
      <c r="C152" s="4" t="s">
        <v>29</v>
      </c>
      <c r="D152" s="4" t="n">
        <v>400</v>
      </c>
      <c r="E152" s="4" t="s">
        <v>30</v>
      </c>
      <c r="F152" s="4" t="s">
        <v>24</v>
      </c>
      <c r="G152" s="4" t="s">
        <v>31</v>
      </c>
      <c r="H152" s="4" t="s">
        <v>29</v>
      </c>
      <c r="I152" s="16" t="n">
        <f aca="false">SUMIFS('Por Fragrância'!$H$5:$H$192,'Por Fragrância'!$A$5:$A$192,$B152,'Por Fragrância'!$B$5:$B$192,$C152,'Por Fragrância'!$C$5:$C$192,$D152,'Por Fragrância'!$D$5:$D$192,$F152,'Por Fragrância'!$E$5:$E$192,$G152)</f>
        <v>0</v>
      </c>
      <c r="J152" s="16" t="n">
        <f aca="false">SUMIFS('Por Fragrância'!$I$5:$I$192,'Por Fragrância'!$A$5:$A$192,$B152,'Por Fragrância'!$B$5:$B$192,$C152,'Por Fragrância'!$C$5:$C$192,$D152,'Por Fragrância'!$D$5:$D$192,$F152,'Por Fragrância'!$E$5:$E$192,$G152)</f>
        <v>68</v>
      </c>
      <c r="K152" s="18" t="n">
        <f aca="false">IF($B$6=0,0,J152/$B$6)</f>
        <v>7.49909420289855</v>
      </c>
      <c r="L152" s="16" t="n">
        <f aca="false">ROUNDUP(K152*$B$7,0)</f>
        <v>90</v>
      </c>
      <c r="M152" s="17" t="n">
        <f aca="false">I152+L152</f>
        <v>90</v>
      </c>
    </row>
    <row r="153" customFormat="false" ht="15" hidden="false" customHeight="false" outlineLevel="0" collapsed="false">
      <c r="A153" s="4" t="s">
        <v>250</v>
      </c>
      <c r="B153" s="4" t="s">
        <v>60</v>
      </c>
      <c r="C153" s="4" t="s">
        <v>33</v>
      </c>
      <c r="D153" s="4" t="n">
        <v>500</v>
      </c>
      <c r="E153" s="4" t="s">
        <v>30</v>
      </c>
      <c r="F153" s="4" t="s">
        <v>24</v>
      </c>
      <c r="G153" s="4" t="s">
        <v>31</v>
      </c>
      <c r="H153" s="4" t="s">
        <v>33</v>
      </c>
      <c r="I153" s="16" t="n">
        <f aca="false">SUMIFS('Por Fragrância'!$H$5:$H$192,'Por Fragrância'!$A$5:$A$192,$B153,'Por Fragrância'!$B$5:$B$192,$C153,'Por Fragrância'!$C$5:$C$192,$D153,'Por Fragrância'!$D$5:$D$192,$F153,'Por Fragrância'!$E$5:$E$192,$G153)</f>
        <v>0</v>
      </c>
      <c r="J153" s="16" t="n">
        <f aca="false">SUMIFS('Por Fragrância'!$I$5:$I$192,'Por Fragrância'!$A$5:$A$192,$B153,'Por Fragrância'!$B$5:$B$192,$C153,'Por Fragrância'!$C$5:$C$192,$D153,'Por Fragrância'!$D$5:$D$192,$F153,'Por Fragrância'!$E$5:$E$192,$G153)</f>
        <v>2</v>
      </c>
      <c r="K153" s="18" t="n">
        <f aca="false">IF($B$6=0,0,J153/$B$6)</f>
        <v>0.220561594202899</v>
      </c>
      <c r="L153" s="16" t="n">
        <f aca="false">ROUNDUP(K153*$B$7,0)</f>
        <v>3</v>
      </c>
      <c r="M153" s="17" t="n">
        <f aca="false">I153+L153</f>
        <v>3</v>
      </c>
    </row>
    <row r="154" customFormat="false" ht="15" hidden="false" customHeight="false" outlineLevel="0" collapsed="false">
      <c r="A154" s="4" t="s">
        <v>251</v>
      </c>
      <c r="B154" s="4" t="s">
        <v>61</v>
      </c>
      <c r="C154" s="4" t="s">
        <v>33</v>
      </c>
      <c r="D154" s="4" t="n">
        <v>500</v>
      </c>
      <c r="E154" s="4" t="s">
        <v>30</v>
      </c>
      <c r="F154" s="4" t="s">
        <v>24</v>
      </c>
      <c r="G154" s="4" t="s">
        <v>31</v>
      </c>
      <c r="H154" s="4" t="s">
        <v>33</v>
      </c>
      <c r="I154" s="16" t="n">
        <f aca="false">SUMIFS('Por Fragrância'!$H$5:$H$192,'Por Fragrância'!$A$5:$A$192,$B154,'Por Fragrância'!$B$5:$B$192,$C154,'Por Fragrância'!$C$5:$C$192,$D154,'Por Fragrância'!$D$5:$D$192,$F154,'Por Fragrância'!$E$5:$E$192,$G154)</f>
        <v>0</v>
      </c>
      <c r="J154" s="16" t="n">
        <f aca="false">SUMIFS('Por Fragrância'!$I$5:$I$192,'Por Fragrância'!$A$5:$A$192,$B154,'Por Fragrância'!$B$5:$B$192,$C154,'Por Fragrância'!$C$5:$C$192,$D154,'Por Fragrância'!$D$5:$D$192,$F154,'Por Fragrância'!$E$5:$E$192,$G154)</f>
        <v>18</v>
      </c>
      <c r="K154" s="18" t="n">
        <f aca="false">IF($B$6=0,0,J154/$B$6)</f>
        <v>1.98505434782609</v>
      </c>
      <c r="L154" s="16" t="n">
        <f aca="false">ROUNDUP(K154*$B$7,0)</f>
        <v>24</v>
      </c>
      <c r="M154" s="17" t="n">
        <f aca="false">I154+L154</f>
        <v>24</v>
      </c>
    </row>
    <row r="155" customFormat="false" ht="15" hidden="false" customHeight="false" outlineLevel="0" collapsed="false">
      <c r="A155" s="4" t="s">
        <v>252</v>
      </c>
      <c r="B155" s="4" t="s">
        <v>62</v>
      </c>
      <c r="C155" s="4" t="s">
        <v>29</v>
      </c>
      <c r="D155" s="4" t="n">
        <v>400</v>
      </c>
      <c r="E155" s="4" t="s">
        <v>30</v>
      </c>
      <c r="F155" s="4" t="s">
        <v>24</v>
      </c>
      <c r="G155" s="4" t="s">
        <v>31</v>
      </c>
      <c r="H155" s="4" t="s">
        <v>29</v>
      </c>
      <c r="I155" s="16" t="n">
        <f aca="false">SUMIFS('Por Fragrância'!$H$5:$H$192,'Por Fragrância'!$A$5:$A$192,$B155,'Por Fragrância'!$B$5:$B$192,$C155,'Por Fragrância'!$C$5:$C$192,$D155,'Por Fragrância'!$D$5:$D$192,$F155,'Por Fragrância'!$E$5:$E$192,$G155)</f>
        <v>0</v>
      </c>
      <c r="J155" s="16" t="n">
        <f aca="false">SUMIFS('Por Fragrância'!$I$5:$I$192,'Por Fragrância'!$A$5:$A$192,$B155,'Por Fragrância'!$B$5:$B$192,$C155,'Por Fragrância'!$C$5:$C$192,$D155,'Por Fragrância'!$D$5:$D$192,$F155,'Por Fragrância'!$E$5:$E$192,$G155)</f>
        <v>6</v>
      </c>
      <c r="K155" s="18" t="n">
        <f aca="false">IF($B$6=0,0,J155/$B$6)</f>
        <v>0.661684782608696</v>
      </c>
      <c r="L155" s="16" t="n">
        <f aca="false">ROUNDUP(K155*$B$7,0)</f>
        <v>8</v>
      </c>
      <c r="M155" s="17" t="n">
        <f aca="false">I155+L155</f>
        <v>8</v>
      </c>
    </row>
    <row r="156" customFormat="false" ht="15" hidden="false" customHeight="false" outlineLevel="0" collapsed="false">
      <c r="A156" s="4" t="s">
        <v>253</v>
      </c>
      <c r="B156" s="4" t="s">
        <v>62</v>
      </c>
      <c r="C156" s="4" t="s">
        <v>33</v>
      </c>
      <c r="D156" s="4" t="n">
        <v>500</v>
      </c>
      <c r="E156" s="4" t="s">
        <v>30</v>
      </c>
      <c r="F156" s="4" t="s">
        <v>24</v>
      </c>
      <c r="G156" s="4" t="s">
        <v>31</v>
      </c>
      <c r="H156" s="4" t="s">
        <v>33</v>
      </c>
      <c r="I156" s="16" t="n">
        <f aca="false">SUMIFS('Por Fragrância'!$H$5:$H$192,'Por Fragrância'!$A$5:$A$192,$B156,'Por Fragrância'!$B$5:$B$192,$C156,'Por Fragrância'!$C$5:$C$192,$D156,'Por Fragrância'!$D$5:$D$192,$F156,'Por Fragrância'!$E$5:$E$192,$G156)</f>
        <v>0</v>
      </c>
      <c r="J156" s="16" t="n">
        <f aca="false">SUMIFS('Por Fragrância'!$I$5:$I$192,'Por Fragrância'!$A$5:$A$192,$B156,'Por Fragrância'!$B$5:$B$192,$C156,'Por Fragrância'!$C$5:$C$192,$D156,'Por Fragrância'!$D$5:$D$192,$F156,'Por Fragrância'!$E$5:$E$192,$G156)</f>
        <v>23</v>
      </c>
      <c r="K156" s="18" t="n">
        <f aca="false">IF($B$6=0,0,J156/$B$6)</f>
        <v>2.53645833333333</v>
      </c>
      <c r="L156" s="16" t="n">
        <f aca="false">ROUNDUP(K156*$B$7,0)</f>
        <v>31</v>
      </c>
      <c r="M156" s="17" t="n">
        <f aca="false">I156+L156</f>
        <v>31</v>
      </c>
    </row>
    <row r="157" customFormat="false" ht="15" hidden="false" customHeight="false" outlineLevel="0" collapsed="false">
      <c r="A157" s="4" t="s">
        <v>254</v>
      </c>
      <c r="B157" s="4" t="s">
        <v>63</v>
      </c>
      <c r="C157" s="4" t="s">
        <v>33</v>
      </c>
      <c r="D157" s="4" t="n">
        <v>500</v>
      </c>
      <c r="E157" s="4" t="s">
        <v>30</v>
      </c>
      <c r="F157" s="4" t="s">
        <v>24</v>
      </c>
      <c r="G157" s="4" t="s">
        <v>31</v>
      </c>
      <c r="H157" s="4" t="s">
        <v>33</v>
      </c>
      <c r="I157" s="16" t="n">
        <f aca="false">SUMIFS('Por Fragrância'!$H$5:$H$192,'Por Fragrância'!$A$5:$A$192,$B157,'Por Fragrância'!$B$5:$B$192,$C157,'Por Fragrância'!$C$5:$C$192,$D157,'Por Fragrância'!$D$5:$D$192,$F157,'Por Fragrância'!$E$5:$E$192,$G157)</f>
        <v>0</v>
      </c>
      <c r="J157" s="16" t="n">
        <f aca="false">SUMIFS('Por Fragrância'!$I$5:$I$192,'Por Fragrância'!$A$5:$A$192,$B157,'Por Fragrância'!$B$5:$B$192,$C157,'Por Fragrância'!$C$5:$C$192,$D157,'Por Fragrância'!$D$5:$D$192,$F157,'Por Fragrância'!$E$5:$E$192,$G157)</f>
        <v>379</v>
      </c>
      <c r="K157" s="18" t="n">
        <f aca="false">IF($B$6=0,0,J157/$B$6)</f>
        <v>41.7964221014493</v>
      </c>
      <c r="L157" s="16" t="n">
        <f aca="false">ROUNDUP(K157*$B$7,0)</f>
        <v>502</v>
      </c>
      <c r="M157" s="17" t="n">
        <f aca="false">I157+L157</f>
        <v>502</v>
      </c>
    </row>
    <row r="158" customFormat="false" ht="15" hidden="false" customHeight="false" outlineLevel="0" collapsed="false">
      <c r="A158" s="4" t="s">
        <v>255</v>
      </c>
      <c r="B158" s="4" t="s">
        <v>64</v>
      </c>
      <c r="C158" s="4" t="s">
        <v>29</v>
      </c>
      <c r="D158" s="4" t="n">
        <v>400</v>
      </c>
      <c r="E158" s="4" t="s">
        <v>30</v>
      </c>
      <c r="F158" s="4" t="s">
        <v>24</v>
      </c>
      <c r="G158" s="4" t="s">
        <v>31</v>
      </c>
      <c r="H158" s="4" t="s">
        <v>29</v>
      </c>
      <c r="I158" s="16" t="n">
        <f aca="false">SUMIFS('Por Fragrância'!$H$5:$H$192,'Por Fragrância'!$A$5:$A$192,$B158,'Por Fragrância'!$B$5:$B$192,$C158,'Por Fragrância'!$C$5:$C$192,$D158,'Por Fragrância'!$D$5:$D$192,$F158,'Por Fragrância'!$E$5:$E$192,$G158)</f>
        <v>0</v>
      </c>
      <c r="J158" s="16" t="n">
        <f aca="false">SUMIFS('Por Fragrância'!$I$5:$I$192,'Por Fragrância'!$A$5:$A$192,$B158,'Por Fragrância'!$B$5:$B$192,$C158,'Por Fragrância'!$C$5:$C$192,$D158,'Por Fragrância'!$D$5:$D$192,$F158,'Por Fragrância'!$E$5:$E$192,$G158)</f>
        <v>6</v>
      </c>
      <c r="K158" s="18" t="n">
        <f aca="false">IF($B$6=0,0,J158/$B$6)</f>
        <v>0.661684782608696</v>
      </c>
      <c r="L158" s="16" t="n">
        <f aca="false">ROUNDUP(K158*$B$7,0)</f>
        <v>8</v>
      </c>
      <c r="M158" s="17" t="n">
        <f aca="false">I158+L158</f>
        <v>8</v>
      </c>
    </row>
    <row r="159" customFormat="false" ht="15" hidden="false" customHeight="false" outlineLevel="0" collapsed="false">
      <c r="A159" s="4" t="s">
        <v>256</v>
      </c>
      <c r="B159" s="4" t="s">
        <v>64</v>
      </c>
      <c r="C159" s="4" t="s">
        <v>33</v>
      </c>
      <c r="D159" s="4" t="n">
        <v>500</v>
      </c>
      <c r="E159" s="4" t="s">
        <v>30</v>
      </c>
      <c r="F159" s="4" t="s">
        <v>24</v>
      </c>
      <c r="G159" s="4" t="s">
        <v>31</v>
      </c>
      <c r="H159" s="4" t="s">
        <v>33</v>
      </c>
      <c r="I159" s="16" t="n">
        <f aca="false">SUMIFS('Por Fragrância'!$H$5:$H$192,'Por Fragrância'!$A$5:$A$192,$B159,'Por Fragrância'!$B$5:$B$192,$C159,'Por Fragrância'!$C$5:$C$192,$D159,'Por Fragrância'!$D$5:$D$192,$F159,'Por Fragrância'!$E$5:$E$192,$G159)</f>
        <v>0</v>
      </c>
      <c r="J159" s="16" t="n">
        <f aca="false">SUMIFS('Por Fragrância'!$I$5:$I$192,'Por Fragrância'!$A$5:$A$192,$B159,'Por Fragrância'!$B$5:$B$192,$C159,'Por Fragrância'!$C$5:$C$192,$D159,'Por Fragrância'!$D$5:$D$192,$F159,'Por Fragrância'!$E$5:$E$192,$G159)</f>
        <v>11</v>
      </c>
      <c r="K159" s="18" t="n">
        <f aca="false">IF($B$6=0,0,J159/$B$6)</f>
        <v>1.21308876811594</v>
      </c>
      <c r="L159" s="16" t="n">
        <f aca="false">ROUNDUP(K159*$B$7,0)</f>
        <v>15</v>
      </c>
      <c r="M159" s="17" t="n">
        <f aca="false">I159+L159</f>
        <v>15</v>
      </c>
    </row>
    <row r="160" customFormat="false" ht="15" hidden="false" customHeight="false" outlineLevel="0" collapsed="false">
      <c r="A160" s="4" t="s">
        <v>257</v>
      </c>
      <c r="B160" s="4" t="s">
        <v>65</v>
      </c>
      <c r="C160" s="4" t="s">
        <v>33</v>
      </c>
      <c r="D160" s="4" t="n">
        <v>500</v>
      </c>
      <c r="E160" s="4" t="s">
        <v>30</v>
      </c>
      <c r="F160" s="4" t="s">
        <v>24</v>
      </c>
      <c r="G160" s="4" t="s">
        <v>31</v>
      </c>
      <c r="H160" s="4" t="s">
        <v>33</v>
      </c>
      <c r="I160" s="16" t="n">
        <f aca="false">SUMIFS('Por Fragrância'!$H$5:$H$192,'Por Fragrância'!$A$5:$A$192,$B160,'Por Fragrância'!$B$5:$B$192,$C160,'Por Fragrância'!$C$5:$C$192,$D160,'Por Fragrância'!$D$5:$D$192,$F160,'Por Fragrância'!$E$5:$E$192,$G160)</f>
        <v>0</v>
      </c>
      <c r="J160" s="16" t="n">
        <f aca="false">SUMIFS('Por Fragrância'!$I$5:$I$192,'Por Fragrância'!$A$5:$A$192,$B160,'Por Fragrância'!$B$5:$B$192,$C160,'Por Fragrância'!$C$5:$C$192,$D160,'Por Fragrância'!$D$5:$D$192,$F160,'Por Fragrância'!$E$5:$E$192,$G160)</f>
        <v>1</v>
      </c>
      <c r="K160" s="18" t="n">
        <f aca="false">IF($B$6=0,0,J160/$B$6)</f>
        <v>0.110280797101449</v>
      </c>
      <c r="L160" s="16" t="n">
        <f aca="false">ROUNDUP(K160*$B$7,0)</f>
        <v>2</v>
      </c>
      <c r="M160" s="17" t="n">
        <f aca="false">I160+L160</f>
        <v>2</v>
      </c>
    </row>
    <row r="161" customFormat="false" ht="15" hidden="false" customHeight="false" outlineLevel="0" collapsed="false">
      <c r="A161" s="4" t="s">
        <v>258</v>
      </c>
      <c r="B161" s="4" t="s">
        <v>66</v>
      </c>
      <c r="C161" s="4" t="s">
        <v>33</v>
      </c>
      <c r="D161" s="4" t="n">
        <v>500</v>
      </c>
      <c r="E161" s="4" t="s">
        <v>30</v>
      </c>
      <c r="F161" s="4" t="s">
        <v>24</v>
      </c>
      <c r="G161" s="4" t="s">
        <v>31</v>
      </c>
      <c r="H161" s="4" t="s">
        <v>33</v>
      </c>
      <c r="I161" s="16" t="n">
        <f aca="false">SUMIFS('Por Fragrância'!$H$5:$H$192,'Por Fragrância'!$A$5:$A$192,$B161,'Por Fragrância'!$B$5:$B$192,$C161,'Por Fragrância'!$C$5:$C$192,$D161,'Por Fragrância'!$D$5:$D$192,$F161,'Por Fragrância'!$E$5:$E$192,$G161)</f>
        <v>0</v>
      </c>
      <c r="J161" s="16" t="n">
        <f aca="false">SUMIFS('Por Fragrância'!$I$5:$I$192,'Por Fragrância'!$A$5:$A$192,$B161,'Por Fragrância'!$B$5:$B$192,$C161,'Por Fragrância'!$C$5:$C$192,$D161,'Por Fragrância'!$D$5:$D$192,$F161,'Por Fragrância'!$E$5:$E$192,$G161)</f>
        <v>6</v>
      </c>
      <c r="K161" s="18" t="n">
        <f aca="false">IF($B$6=0,0,J161/$B$6)</f>
        <v>0.661684782608696</v>
      </c>
      <c r="L161" s="16" t="n">
        <f aca="false">ROUNDUP(K161*$B$7,0)</f>
        <v>8</v>
      </c>
      <c r="M161" s="17" t="n">
        <f aca="false">I161+L161</f>
        <v>8</v>
      </c>
    </row>
    <row r="162" customFormat="false" ht="15" hidden="false" customHeight="false" outlineLevel="0" collapsed="false">
      <c r="A162" s="4" t="s">
        <v>259</v>
      </c>
      <c r="B162" s="4" t="s">
        <v>67</v>
      </c>
      <c r="C162" s="4" t="s">
        <v>29</v>
      </c>
      <c r="D162" s="4" t="n">
        <v>400</v>
      </c>
      <c r="E162" s="4" t="s">
        <v>30</v>
      </c>
      <c r="F162" s="4" t="s">
        <v>24</v>
      </c>
      <c r="G162" s="4" t="s">
        <v>31</v>
      </c>
      <c r="H162" s="4" t="s">
        <v>29</v>
      </c>
      <c r="I162" s="16" t="n">
        <f aca="false">SUMIFS('Por Fragrância'!$H$5:$H$192,'Por Fragrância'!$A$5:$A$192,$B162,'Por Fragrância'!$B$5:$B$192,$C162,'Por Fragrância'!$C$5:$C$192,$D162,'Por Fragrância'!$D$5:$D$192,$F162,'Por Fragrância'!$E$5:$E$192,$G162)</f>
        <v>0</v>
      </c>
      <c r="J162" s="16" t="n">
        <f aca="false">SUMIFS('Por Fragrância'!$I$5:$I$192,'Por Fragrância'!$A$5:$A$192,$B162,'Por Fragrância'!$B$5:$B$192,$C162,'Por Fragrância'!$C$5:$C$192,$D162,'Por Fragrância'!$D$5:$D$192,$F162,'Por Fragrância'!$E$5:$E$192,$G162)</f>
        <v>5</v>
      </c>
      <c r="K162" s="18" t="n">
        <f aca="false">IF($B$6=0,0,J162/$B$6)</f>
        <v>0.551403985507247</v>
      </c>
      <c r="L162" s="16" t="n">
        <f aca="false">ROUNDUP(K162*$B$7,0)</f>
        <v>7</v>
      </c>
      <c r="M162" s="17" t="n">
        <f aca="false">I162+L162</f>
        <v>7</v>
      </c>
    </row>
    <row r="163" customFormat="false" ht="15" hidden="false" customHeight="false" outlineLevel="0" collapsed="false">
      <c r="A163" s="4" t="s">
        <v>260</v>
      </c>
      <c r="B163" s="4" t="s">
        <v>67</v>
      </c>
      <c r="C163" s="4" t="s">
        <v>33</v>
      </c>
      <c r="D163" s="4" t="n">
        <v>500</v>
      </c>
      <c r="E163" s="4" t="s">
        <v>30</v>
      </c>
      <c r="F163" s="4" t="s">
        <v>24</v>
      </c>
      <c r="G163" s="4" t="s">
        <v>31</v>
      </c>
      <c r="H163" s="4" t="s">
        <v>33</v>
      </c>
      <c r="I163" s="16" t="n">
        <f aca="false">SUMIFS('Por Fragrância'!$H$5:$H$192,'Por Fragrância'!$A$5:$A$192,$B163,'Por Fragrância'!$B$5:$B$192,$C163,'Por Fragrância'!$C$5:$C$192,$D163,'Por Fragrância'!$D$5:$D$192,$F163,'Por Fragrância'!$E$5:$E$192,$G163)</f>
        <v>0</v>
      </c>
      <c r="J163" s="16" t="n">
        <f aca="false">SUMIFS('Por Fragrância'!$I$5:$I$192,'Por Fragrância'!$A$5:$A$192,$B163,'Por Fragrância'!$B$5:$B$192,$C163,'Por Fragrância'!$C$5:$C$192,$D163,'Por Fragrância'!$D$5:$D$192,$F163,'Por Fragrância'!$E$5:$E$192,$G163)</f>
        <v>6</v>
      </c>
      <c r="K163" s="18" t="n">
        <f aca="false">IF($B$6=0,0,J163/$B$6)</f>
        <v>0.661684782608696</v>
      </c>
      <c r="L163" s="16" t="n">
        <f aca="false">ROUNDUP(K163*$B$7,0)</f>
        <v>8</v>
      </c>
      <c r="M163" s="17" t="n">
        <f aca="false">I163+L163</f>
        <v>8</v>
      </c>
    </row>
    <row r="164" customFormat="false" ht="15" hidden="false" customHeight="false" outlineLevel="0" collapsed="false">
      <c r="A164" s="4" t="s">
        <v>261</v>
      </c>
      <c r="B164" s="4" t="s">
        <v>69</v>
      </c>
      <c r="C164" s="4" t="s">
        <v>12</v>
      </c>
      <c r="D164" s="4" t="n">
        <v>500</v>
      </c>
      <c r="E164" s="4" t="s">
        <v>15</v>
      </c>
      <c r="F164" s="4" t="s">
        <v>24</v>
      </c>
      <c r="G164" s="4" t="s">
        <v>31</v>
      </c>
      <c r="H164" s="4" t="s">
        <v>35</v>
      </c>
      <c r="I164" s="16" t="n">
        <f aca="false">SUMIFS('Por Fragrância'!$H$5:$H$192,'Por Fragrância'!$A$5:$A$192,$B164,'Por Fragrância'!$B$5:$B$192,$C164,'Por Fragrância'!$C$5:$C$192,$D164,'Por Fragrância'!$D$5:$D$192,$F164,'Por Fragrância'!$E$5:$E$192,$G164)</f>
        <v>10</v>
      </c>
      <c r="J164" s="16" t="n">
        <f aca="false">SUMIFS('Por Fragrância'!$I$5:$I$192,'Por Fragrância'!$A$5:$A$192,$B164,'Por Fragrância'!$B$5:$B$192,$C164,'Por Fragrância'!$C$5:$C$192,$D164,'Por Fragrância'!$D$5:$D$192,$F164,'Por Fragrância'!$E$5:$E$192,$G164)</f>
        <v>0</v>
      </c>
      <c r="K164" s="18" t="n">
        <f aca="false">IF($B$6=0,0,J164/$B$6)</f>
        <v>0</v>
      </c>
      <c r="L164" s="16" t="n">
        <f aca="false">ROUNDUP(K164*$B$7,0)</f>
        <v>0</v>
      </c>
      <c r="M164" s="17" t="n">
        <f aca="false">I164+L164</f>
        <v>10</v>
      </c>
    </row>
    <row r="165" customFormat="false" ht="15" hidden="false" customHeight="false" outlineLevel="0" collapsed="false">
      <c r="A165" s="4" t="s">
        <v>262</v>
      </c>
      <c r="B165" s="4" t="s">
        <v>71</v>
      </c>
      <c r="C165" s="4" t="s">
        <v>29</v>
      </c>
      <c r="D165" s="4" t="n">
        <v>400</v>
      </c>
      <c r="E165" s="4" t="s">
        <v>30</v>
      </c>
      <c r="F165" s="4" t="s">
        <v>24</v>
      </c>
      <c r="G165" s="4" t="s">
        <v>31</v>
      </c>
      <c r="H165" s="4" t="s">
        <v>29</v>
      </c>
      <c r="I165" s="16" t="n">
        <f aca="false">SUMIFS('Por Fragrância'!$H$5:$H$192,'Por Fragrância'!$A$5:$A$192,$B165,'Por Fragrância'!$B$5:$B$192,$C165,'Por Fragrância'!$C$5:$C$192,$D165,'Por Fragrância'!$D$5:$D$192,$F165,'Por Fragrância'!$E$5:$E$192,$G165)</f>
        <v>0</v>
      </c>
      <c r="J165" s="16" t="n">
        <f aca="false">SUMIFS('Por Fragrância'!$I$5:$I$192,'Por Fragrância'!$A$5:$A$192,$B165,'Por Fragrância'!$B$5:$B$192,$C165,'Por Fragrância'!$C$5:$C$192,$D165,'Por Fragrância'!$D$5:$D$192,$F165,'Por Fragrância'!$E$5:$E$192,$G165)</f>
        <v>9</v>
      </c>
      <c r="K165" s="18" t="n">
        <f aca="false">IF($B$6=0,0,J165/$B$6)</f>
        <v>0.992527173913044</v>
      </c>
      <c r="L165" s="16" t="n">
        <f aca="false">ROUNDUP(K165*$B$7,0)</f>
        <v>12</v>
      </c>
      <c r="M165" s="17" t="n">
        <f aca="false">I165+L165</f>
        <v>12</v>
      </c>
    </row>
    <row r="166" customFormat="false" ht="15" hidden="false" customHeight="false" outlineLevel="0" collapsed="false">
      <c r="A166" s="4" t="s">
        <v>263</v>
      </c>
      <c r="B166" s="4" t="s">
        <v>72</v>
      </c>
      <c r="C166" s="4" t="s">
        <v>29</v>
      </c>
      <c r="D166" s="4" t="n">
        <v>400</v>
      </c>
      <c r="E166" s="4" t="s">
        <v>30</v>
      </c>
      <c r="F166" s="4" t="s">
        <v>24</v>
      </c>
      <c r="G166" s="4" t="s">
        <v>31</v>
      </c>
      <c r="H166" s="4" t="s">
        <v>29</v>
      </c>
      <c r="I166" s="16" t="n">
        <f aca="false">SUMIFS('Por Fragrância'!$H$5:$H$192,'Por Fragrância'!$A$5:$A$192,$B166,'Por Fragrância'!$B$5:$B$192,$C166,'Por Fragrância'!$C$5:$C$192,$D166,'Por Fragrância'!$D$5:$D$192,$F166,'Por Fragrância'!$E$5:$E$192,$G166)</f>
        <v>0</v>
      </c>
      <c r="J166" s="16" t="n">
        <f aca="false">SUMIFS('Por Fragrância'!$I$5:$I$192,'Por Fragrância'!$A$5:$A$192,$B166,'Por Fragrância'!$B$5:$B$192,$C166,'Por Fragrância'!$C$5:$C$192,$D166,'Por Fragrância'!$D$5:$D$192,$F166,'Por Fragrância'!$E$5:$E$192,$G166)</f>
        <v>26</v>
      </c>
      <c r="K166" s="18" t="n">
        <f aca="false">IF($B$6=0,0,J166/$B$6)</f>
        <v>2.86730072463768</v>
      </c>
      <c r="L166" s="16" t="n">
        <f aca="false">ROUNDUP(K166*$B$7,0)</f>
        <v>35</v>
      </c>
      <c r="M166" s="17" t="n">
        <f aca="false">I166+L166</f>
        <v>35</v>
      </c>
    </row>
    <row r="167" customFormat="false" ht="15" hidden="false" customHeight="false" outlineLevel="0" collapsed="false">
      <c r="A167" s="4" t="s">
        <v>264</v>
      </c>
      <c r="B167" s="4" t="s">
        <v>72</v>
      </c>
      <c r="C167" s="4" t="s">
        <v>33</v>
      </c>
      <c r="D167" s="4" t="n">
        <v>500</v>
      </c>
      <c r="E167" s="4" t="s">
        <v>30</v>
      </c>
      <c r="F167" s="4" t="s">
        <v>24</v>
      </c>
      <c r="G167" s="4" t="s">
        <v>31</v>
      </c>
      <c r="H167" s="4" t="s">
        <v>33</v>
      </c>
      <c r="I167" s="16" t="n">
        <f aca="false">SUMIFS('Por Fragrância'!$H$5:$H$192,'Por Fragrância'!$A$5:$A$192,$B167,'Por Fragrância'!$B$5:$B$192,$C167,'Por Fragrância'!$C$5:$C$192,$D167,'Por Fragrância'!$D$5:$D$192,$F167,'Por Fragrância'!$E$5:$E$192,$G167)</f>
        <v>0</v>
      </c>
      <c r="J167" s="16" t="n">
        <f aca="false">SUMIFS('Por Fragrância'!$I$5:$I$192,'Por Fragrância'!$A$5:$A$192,$B167,'Por Fragrância'!$B$5:$B$192,$C167,'Por Fragrância'!$C$5:$C$192,$D167,'Por Fragrância'!$D$5:$D$192,$F167,'Por Fragrância'!$E$5:$E$192,$G167)</f>
        <v>23</v>
      </c>
      <c r="K167" s="18" t="n">
        <f aca="false">IF($B$6=0,0,J167/$B$6)</f>
        <v>2.53645833333333</v>
      </c>
      <c r="L167" s="16" t="n">
        <f aca="false">ROUNDUP(K167*$B$7,0)</f>
        <v>31</v>
      </c>
      <c r="M167" s="17" t="n">
        <f aca="false">I167+L167</f>
        <v>31</v>
      </c>
    </row>
    <row r="168" customFormat="false" ht="15" hidden="false" customHeight="false" outlineLevel="0" collapsed="false">
      <c r="A168" s="4" t="s">
        <v>265</v>
      </c>
      <c r="B168" s="4" t="s">
        <v>73</v>
      </c>
      <c r="C168" s="4" t="s">
        <v>12</v>
      </c>
      <c r="D168" s="4" t="n">
        <v>500</v>
      </c>
      <c r="E168" s="4" t="s">
        <v>15</v>
      </c>
      <c r="F168" s="4" t="s">
        <v>24</v>
      </c>
      <c r="G168" s="4" t="s">
        <v>31</v>
      </c>
      <c r="H168" s="4" t="s">
        <v>35</v>
      </c>
      <c r="I168" s="16" t="n">
        <f aca="false">SUMIFS('Por Fragrância'!$H$5:$H$192,'Por Fragrância'!$A$5:$A$192,$B168,'Por Fragrância'!$B$5:$B$192,$C168,'Por Fragrância'!$C$5:$C$192,$D168,'Por Fragrância'!$D$5:$D$192,$F168,'Por Fragrância'!$E$5:$E$192,$G168)</f>
        <v>10</v>
      </c>
      <c r="J168" s="16" t="n">
        <f aca="false">SUMIFS('Por Fragrância'!$I$5:$I$192,'Por Fragrância'!$A$5:$A$192,$B168,'Por Fragrância'!$B$5:$B$192,$C168,'Por Fragrância'!$C$5:$C$192,$D168,'Por Fragrância'!$D$5:$D$192,$F168,'Por Fragrância'!$E$5:$E$192,$G168)</f>
        <v>0</v>
      </c>
      <c r="K168" s="18" t="n">
        <f aca="false">IF($B$6=0,0,J168/$B$6)</f>
        <v>0</v>
      </c>
      <c r="L168" s="16" t="n">
        <f aca="false">ROUNDUP(K168*$B$7,0)</f>
        <v>0</v>
      </c>
      <c r="M168" s="17" t="n">
        <f aca="false">I168+L168</f>
        <v>10</v>
      </c>
    </row>
    <row r="169" customFormat="false" ht="15" hidden="false" customHeight="false" outlineLevel="0" collapsed="false">
      <c r="A169" s="4" t="s">
        <v>266</v>
      </c>
      <c r="B169" s="4" t="s">
        <v>74</v>
      </c>
      <c r="C169" s="4" t="s">
        <v>29</v>
      </c>
      <c r="D169" s="4" t="n">
        <v>400</v>
      </c>
      <c r="E169" s="4" t="s">
        <v>30</v>
      </c>
      <c r="F169" s="4" t="s">
        <v>24</v>
      </c>
      <c r="G169" s="4" t="s">
        <v>31</v>
      </c>
      <c r="H169" s="4" t="s">
        <v>29</v>
      </c>
      <c r="I169" s="16" t="n">
        <f aca="false">SUMIFS('Por Fragrância'!$H$5:$H$192,'Por Fragrância'!$A$5:$A$192,$B169,'Por Fragrância'!$B$5:$B$192,$C169,'Por Fragrância'!$C$5:$C$192,$D169,'Por Fragrância'!$D$5:$D$192,$F169,'Por Fragrância'!$E$5:$E$192,$G169)</f>
        <v>0</v>
      </c>
      <c r="J169" s="16" t="n">
        <f aca="false">SUMIFS('Por Fragrância'!$I$5:$I$192,'Por Fragrância'!$A$5:$A$192,$B169,'Por Fragrância'!$B$5:$B$192,$C169,'Por Fragrância'!$C$5:$C$192,$D169,'Por Fragrância'!$D$5:$D$192,$F169,'Por Fragrância'!$E$5:$E$192,$G169)</f>
        <v>18</v>
      </c>
      <c r="K169" s="18" t="n">
        <f aca="false">IF($B$6=0,0,J169/$B$6)</f>
        <v>1.98505434782609</v>
      </c>
      <c r="L169" s="16" t="n">
        <f aca="false">ROUNDUP(K169*$B$7,0)</f>
        <v>24</v>
      </c>
      <c r="M169" s="17" t="n">
        <f aca="false">I169+L169</f>
        <v>24</v>
      </c>
    </row>
    <row r="170" customFormat="false" ht="15" hidden="false" customHeight="false" outlineLevel="0" collapsed="false">
      <c r="A170" s="4" t="s">
        <v>267</v>
      </c>
      <c r="B170" s="4" t="s">
        <v>74</v>
      </c>
      <c r="C170" s="4" t="s">
        <v>33</v>
      </c>
      <c r="D170" s="4" t="n">
        <v>500</v>
      </c>
      <c r="E170" s="4" t="s">
        <v>30</v>
      </c>
      <c r="F170" s="4" t="s">
        <v>24</v>
      </c>
      <c r="G170" s="4" t="s">
        <v>31</v>
      </c>
      <c r="H170" s="4" t="s">
        <v>33</v>
      </c>
      <c r="I170" s="16" t="n">
        <f aca="false">SUMIFS('Por Fragrância'!$H$5:$H$192,'Por Fragrância'!$A$5:$A$192,$B170,'Por Fragrância'!$B$5:$B$192,$C170,'Por Fragrância'!$C$5:$C$192,$D170,'Por Fragrância'!$D$5:$D$192,$F170,'Por Fragrância'!$E$5:$E$192,$G170)</f>
        <v>0</v>
      </c>
      <c r="J170" s="16" t="n">
        <f aca="false">SUMIFS('Por Fragrância'!$I$5:$I$192,'Por Fragrância'!$A$5:$A$192,$B170,'Por Fragrância'!$B$5:$B$192,$C170,'Por Fragrância'!$C$5:$C$192,$D170,'Por Fragrância'!$D$5:$D$192,$F170,'Por Fragrância'!$E$5:$E$192,$G170)</f>
        <v>9</v>
      </c>
      <c r="K170" s="18" t="n">
        <f aca="false">IF($B$6=0,0,J170/$B$6)</f>
        <v>0.992527173913044</v>
      </c>
      <c r="L170" s="16" t="n">
        <f aca="false">ROUNDUP(K170*$B$7,0)</f>
        <v>12</v>
      </c>
      <c r="M170" s="17" t="n">
        <f aca="false">I170+L170</f>
        <v>12</v>
      </c>
    </row>
    <row r="171" customFormat="false" ht="15" hidden="false" customHeight="false" outlineLevel="0" collapsed="false">
      <c r="A171" s="4" t="s">
        <v>268</v>
      </c>
      <c r="B171" s="4" t="s">
        <v>80</v>
      </c>
      <c r="C171" s="4" t="s">
        <v>29</v>
      </c>
      <c r="D171" s="4" t="n">
        <v>400</v>
      </c>
      <c r="E171" s="4" t="s">
        <v>30</v>
      </c>
      <c r="F171" s="4" t="s">
        <v>24</v>
      </c>
      <c r="G171" s="4" t="s">
        <v>31</v>
      </c>
      <c r="H171" s="4" t="s">
        <v>29</v>
      </c>
      <c r="I171" s="16" t="n">
        <f aca="false">SUMIFS('Por Fragrância'!$H$5:$H$192,'Por Fragrância'!$A$5:$A$192,$B171,'Por Fragrância'!$B$5:$B$192,$C171,'Por Fragrância'!$C$5:$C$192,$D171,'Por Fragrância'!$D$5:$D$192,$F171,'Por Fragrância'!$E$5:$E$192,$G171)</f>
        <v>0</v>
      </c>
      <c r="J171" s="16" t="n">
        <f aca="false">SUMIFS('Por Fragrância'!$I$5:$I$192,'Por Fragrância'!$A$5:$A$192,$B171,'Por Fragrância'!$B$5:$B$192,$C171,'Por Fragrância'!$C$5:$C$192,$D171,'Por Fragrância'!$D$5:$D$192,$F171,'Por Fragrância'!$E$5:$E$192,$G171)</f>
        <v>9</v>
      </c>
      <c r="K171" s="18" t="n">
        <f aca="false">IF($B$6=0,0,J171/$B$6)</f>
        <v>0.992527173913044</v>
      </c>
      <c r="L171" s="16" t="n">
        <f aca="false">ROUNDUP(K171*$B$7,0)</f>
        <v>12</v>
      </c>
      <c r="M171" s="17" t="n">
        <f aca="false">I171+L171</f>
        <v>12</v>
      </c>
    </row>
    <row r="172" customFormat="false" ht="15" hidden="false" customHeight="false" outlineLevel="0" collapsed="false">
      <c r="A172" s="4" t="s">
        <v>269</v>
      </c>
      <c r="B172" s="4" t="s">
        <v>80</v>
      </c>
      <c r="C172" s="4" t="s">
        <v>33</v>
      </c>
      <c r="D172" s="4" t="n">
        <v>500</v>
      </c>
      <c r="E172" s="4" t="s">
        <v>30</v>
      </c>
      <c r="F172" s="4" t="s">
        <v>24</v>
      </c>
      <c r="G172" s="4" t="s">
        <v>31</v>
      </c>
      <c r="H172" s="4" t="s">
        <v>33</v>
      </c>
      <c r="I172" s="16" t="n">
        <f aca="false">SUMIFS('Por Fragrância'!$H$5:$H$192,'Por Fragrância'!$A$5:$A$192,$B172,'Por Fragrância'!$B$5:$B$192,$C172,'Por Fragrância'!$C$5:$C$192,$D172,'Por Fragrância'!$D$5:$D$192,$F172,'Por Fragrância'!$E$5:$E$192,$G172)</f>
        <v>0</v>
      </c>
      <c r="J172" s="16" t="n">
        <f aca="false">SUMIFS('Por Fragrância'!$I$5:$I$192,'Por Fragrância'!$A$5:$A$192,$B172,'Por Fragrância'!$B$5:$B$192,$C172,'Por Fragrância'!$C$5:$C$192,$D172,'Por Fragrância'!$D$5:$D$192,$F172,'Por Fragrância'!$E$5:$E$192,$G172)</f>
        <v>9</v>
      </c>
      <c r="K172" s="18" t="n">
        <f aca="false">IF($B$6=0,0,J172/$B$6)</f>
        <v>0.992527173913044</v>
      </c>
      <c r="L172" s="16" t="n">
        <f aca="false">ROUNDUP(K172*$B$7,0)</f>
        <v>12</v>
      </c>
      <c r="M172" s="17" t="n">
        <f aca="false">I172+L172</f>
        <v>12</v>
      </c>
    </row>
    <row r="173" customFormat="false" ht="15" hidden="false" customHeight="false" outlineLevel="0" collapsed="false">
      <c r="A173" s="4" t="s">
        <v>270</v>
      </c>
      <c r="B173" s="4" t="s">
        <v>82</v>
      </c>
      <c r="C173" s="4" t="s">
        <v>29</v>
      </c>
      <c r="D173" s="4" t="n">
        <v>400</v>
      </c>
      <c r="E173" s="4" t="s">
        <v>30</v>
      </c>
      <c r="F173" s="4" t="s">
        <v>24</v>
      </c>
      <c r="G173" s="4" t="s">
        <v>31</v>
      </c>
      <c r="H173" s="4" t="s">
        <v>29</v>
      </c>
      <c r="I173" s="16" t="n">
        <f aca="false">SUMIFS('Por Fragrância'!$H$5:$H$192,'Por Fragrância'!$A$5:$A$192,$B173,'Por Fragrância'!$B$5:$B$192,$C173,'Por Fragrância'!$C$5:$C$192,$D173,'Por Fragrância'!$D$5:$D$192,$F173,'Por Fragrância'!$E$5:$E$192,$G173)</f>
        <v>0</v>
      </c>
      <c r="J173" s="16" t="n">
        <f aca="false">SUMIFS('Por Fragrância'!$I$5:$I$192,'Por Fragrância'!$A$5:$A$192,$B173,'Por Fragrância'!$B$5:$B$192,$C173,'Por Fragrância'!$C$5:$C$192,$D173,'Por Fragrância'!$D$5:$D$192,$F173,'Por Fragrância'!$E$5:$E$192,$G173)</f>
        <v>1</v>
      </c>
      <c r="K173" s="18" t="n">
        <f aca="false">IF($B$6=0,0,J173/$B$6)</f>
        <v>0.110280797101449</v>
      </c>
      <c r="L173" s="16" t="n">
        <f aca="false">ROUNDUP(K173*$B$7,0)</f>
        <v>2</v>
      </c>
      <c r="M173" s="17" t="n">
        <f aca="false">I173+L173</f>
        <v>2</v>
      </c>
    </row>
    <row r="174" customFormat="false" ht="15" hidden="false" customHeight="false" outlineLevel="0" collapsed="false">
      <c r="A174" s="4" t="s">
        <v>271</v>
      </c>
      <c r="B174" s="4" t="s">
        <v>82</v>
      </c>
      <c r="C174" s="4" t="s">
        <v>33</v>
      </c>
      <c r="D174" s="4" t="n">
        <v>500</v>
      </c>
      <c r="E174" s="4" t="s">
        <v>30</v>
      </c>
      <c r="F174" s="4" t="s">
        <v>24</v>
      </c>
      <c r="G174" s="4" t="s">
        <v>31</v>
      </c>
      <c r="H174" s="4" t="s">
        <v>33</v>
      </c>
      <c r="I174" s="16" t="n">
        <f aca="false">SUMIFS('Por Fragrância'!$H$5:$H$192,'Por Fragrância'!$A$5:$A$192,$B174,'Por Fragrância'!$B$5:$B$192,$C174,'Por Fragrância'!$C$5:$C$192,$D174,'Por Fragrância'!$D$5:$D$192,$F174,'Por Fragrância'!$E$5:$E$192,$G174)</f>
        <v>0</v>
      </c>
      <c r="J174" s="16" t="n">
        <f aca="false">SUMIFS('Por Fragrância'!$I$5:$I$192,'Por Fragrância'!$A$5:$A$192,$B174,'Por Fragrância'!$B$5:$B$192,$C174,'Por Fragrância'!$C$5:$C$192,$D174,'Por Fragrância'!$D$5:$D$192,$F174,'Por Fragrância'!$E$5:$E$192,$G174)</f>
        <v>10</v>
      </c>
      <c r="K174" s="18" t="n">
        <f aca="false">IF($B$6=0,0,J174/$B$6)</f>
        <v>1.10280797101449</v>
      </c>
      <c r="L174" s="16" t="n">
        <f aca="false">ROUNDUP(K174*$B$7,0)</f>
        <v>14</v>
      </c>
      <c r="M174" s="17" t="n">
        <f aca="false">I174+L174</f>
        <v>14</v>
      </c>
    </row>
    <row r="175" customFormat="false" ht="15" hidden="false" customHeight="false" outlineLevel="0" collapsed="false">
      <c r="A175" s="4" t="s">
        <v>272</v>
      </c>
      <c r="B175" s="4" t="s">
        <v>83</v>
      </c>
      <c r="C175" s="4" t="s">
        <v>29</v>
      </c>
      <c r="D175" s="4" t="n">
        <v>400</v>
      </c>
      <c r="E175" s="4" t="s">
        <v>30</v>
      </c>
      <c r="F175" s="4" t="s">
        <v>24</v>
      </c>
      <c r="G175" s="4" t="s">
        <v>31</v>
      </c>
      <c r="H175" s="4" t="s">
        <v>29</v>
      </c>
      <c r="I175" s="16" t="n">
        <f aca="false">SUMIFS('Por Fragrância'!$H$5:$H$192,'Por Fragrância'!$A$5:$A$192,$B175,'Por Fragrância'!$B$5:$B$192,$C175,'Por Fragrância'!$C$5:$C$192,$D175,'Por Fragrância'!$D$5:$D$192,$F175,'Por Fragrância'!$E$5:$E$192,$G175)</f>
        <v>0</v>
      </c>
      <c r="J175" s="16" t="n">
        <f aca="false">SUMIFS('Por Fragrância'!$I$5:$I$192,'Por Fragrância'!$A$5:$A$192,$B175,'Por Fragrância'!$B$5:$B$192,$C175,'Por Fragrância'!$C$5:$C$192,$D175,'Por Fragrância'!$D$5:$D$192,$F175,'Por Fragrância'!$E$5:$E$192,$G175)</f>
        <v>11</v>
      </c>
      <c r="K175" s="18" t="n">
        <f aca="false">IF($B$6=0,0,J175/$B$6)</f>
        <v>1.21308876811594</v>
      </c>
      <c r="L175" s="16" t="n">
        <f aca="false">ROUNDUP(K175*$B$7,0)</f>
        <v>15</v>
      </c>
      <c r="M175" s="17" t="n">
        <f aca="false">I175+L175</f>
        <v>15</v>
      </c>
    </row>
    <row r="176" customFormat="false" ht="15" hidden="false" customHeight="false" outlineLevel="0" collapsed="false">
      <c r="A176" s="4" t="s">
        <v>273</v>
      </c>
      <c r="B176" s="4" t="s">
        <v>83</v>
      </c>
      <c r="C176" s="4" t="s">
        <v>33</v>
      </c>
      <c r="D176" s="4" t="n">
        <v>500</v>
      </c>
      <c r="E176" s="4" t="s">
        <v>30</v>
      </c>
      <c r="F176" s="4" t="s">
        <v>24</v>
      </c>
      <c r="G176" s="4" t="s">
        <v>31</v>
      </c>
      <c r="H176" s="4" t="s">
        <v>33</v>
      </c>
      <c r="I176" s="16" t="n">
        <f aca="false">SUMIFS('Por Fragrância'!$H$5:$H$192,'Por Fragrância'!$A$5:$A$192,$B176,'Por Fragrância'!$B$5:$B$192,$C176,'Por Fragrância'!$C$5:$C$192,$D176,'Por Fragrância'!$D$5:$D$192,$F176,'Por Fragrância'!$E$5:$E$192,$G176)</f>
        <v>0</v>
      </c>
      <c r="J176" s="16" t="n">
        <f aca="false">SUMIFS('Por Fragrância'!$I$5:$I$192,'Por Fragrância'!$A$5:$A$192,$B176,'Por Fragrância'!$B$5:$B$192,$C176,'Por Fragrância'!$C$5:$C$192,$D176,'Por Fragrância'!$D$5:$D$192,$F176,'Por Fragrância'!$E$5:$E$192,$G176)</f>
        <v>24</v>
      </c>
      <c r="K176" s="18" t="n">
        <f aca="false">IF($B$6=0,0,J176/$B$6)</f>
        <v>2.64673913043478</v>
      </c>
      <c r="L176" s="16" t="n">
        <f aca="false">ROUNDUP(K176*$B$7,0)</f>
        <v>32</v>
      </c>
      <c r="M176" s="17" t="n">
        <f aca="false">I176+L176</f>
        <v>32</v>
      </c>
    </row>
    <row r="177" customFormat="false" ht="15" hidden="false" customHeight="false" outlineLevel="0" collapsed="false">
      <c r="A177" s="4" t="s">
        <v>274</v>
      </c>
      <c r="B177" s="4" t="s">
        <v>84</v>
      </c>
      <c r="C177" s="4" t="s">
        <v>29</v>
      </c>
      <c r="D177" s="4" t="n">
        <v>400</v>
      </c>
      <c r="E177" s="4" t="s">
        <v>30</v>
      </c>
      <c r="F177" s="4" t="s">
        <v>24</v>
      </c>
      <c r="G177" s="4" t="s">
        <v>31</v>
      </c>
      <c r="H177" s="4" t="s">
        <v>29</v>
      </c>
      <c r="I177" s="16" t="n">
        <f aca="false">SUMIFS('Por Fragrância'!$H$5:$H$192,'Por Fragrância'!$A$5:$A$192,$B177,'Por Fragrância'!$B$5:$B$192,$C177,'Por Fragrância'!$C$5:$C$192,$D177,'Por Fragrância'!$D$5:$D$192,$F177,'Por Fragrância'!$E$5:$E$192,$G177)</f>
        <v>0</v>
      </c>
      <c r="J177" s="16" t="n">
        <f aca="false">SUMIFS('Por Fragrância'!$I$5:$I$192,'Por Fragrância'!$A$5:$A$192,$B177,'Por Fragrância'!$B$5:$B$192,$C177,'Por Fragrância'!$C$5:$C$192,$D177,'Por Fragrância'!$D$5:$D$192,$F177,'Por Fragrância'!$E$5:$E$192,$G177)</f>
        <v>24</v>
      </c>
      <c r="K177" s="18" t="n">
        <f aca="false">IF($B$6=0,0,J177/$B$6)</f>
        <v>2.64673913043478</v>
      </c>
      <c r="L177" s="16" t="n">
        <f aca="false">ROUNDUP(K177*$B$7,0)</f>
        <v>32</v>
      </c>
      <c r="M177" s="17" t="n">
        <f aca="false">I177+L177</f>
        <v>32</v>
      </c>
    </row>
    <row r="178" customFormat="false" ht="15" hidden="false" customHeight="false" outlineLevel="0" collapsed="false">
      <c r="A178" s="4" t="s">
        <v>275</v>
      </c>
      <c r="B178" s="4" t="s">
        <v>84</v>
      </c>
      <c r="C178" s="4" t="s">
        <v>33</v>
      </c>
      <c r="D178" s="4" t="n">
        <v>500</v>
      </c>
      <c r="E178" s="4" t="s">
        <v>30</v>
      </c>
      <c r="F178" s="4" t="s">
        <v>24</v>
      </c>
      <c r="G178" s="4" t="s">
        <v>31</v>
      </c>
      <c r="H178" s="4" t="s">
        <v>33</v>
      </c>
      <c r="I178" s="16" t="n">
        <f aca="false">SUMIFS('Por Fragrância'!$H$5:$H$192,'Por Fragrância'!$A$5:$A$192,$B178,'Por Fragrância'!$B$5:$B$192,$C178,'Por Fragrância'!$C$5:$C$192,$D178,'Por Fragrância'!$D$5:$D$192,$F178,'Por Fragrância'!$E$5:$E$192,$G178)</f>
        <v>0</v>
      </c>
      <c r="J178" s="16" t="n">
        <f aca="false">SUMIFS('Por Fragrância'!$I$5:$I$192,'Por Fragrância'!$A$5:$A$192,$B178,'Por Fragrância'!$B$5:$B$192,$C178,'Por Fragrância'!$C$5:$C$192,$D178,'Por Fragrância'!$D$5:$D$192,$F178,'Por Fragrância'!$E$5:$E$192,$G178)</f>
        <v>40</v>
      </c>
      <c r="K178" s="18" t="n">
        <f aca="false">IF($B$6=0,0,J178/$B$6)</f>
        <v>4.41123188405797</v>
      </c>
      <c r="L178" s="16" t="n">
        <f aca="false">ROUNDUP(K178*$B$7,0)</f>
        <v>53</v>
      </c>
      <c r="M178" s="17" t="n">
        <f aca="false">I178+L178</f>
        <v>53</v>
      </c>
    </row>
    <row r="179" customFormat="false" ht="15" hidden="false" customHeight="false" outlineLevel="0" collapsed="false">
      <c r="A179" s="4" t="s">
        <v>276</v>
      </c>
      <c r="B179" s="4" t="s">
        <v>86</v>
      </c>
      <c r="C179" s="4" t="s">
        <v>29</v>
      </c>
      <c r="D179" s="4" t="n">
        <v>400</v>
      </c>
      <c r="E179" s="4" t="s">
        <v>30</v>
      </c>
      <c r="F179" s="4" t="s">
        <v>24</v>
      </c>
      <c r="G179" s="4" t="s">
        <v>31</v>
      </c>
      <c r="H179" s="4" t="s">
        <v>29</v>
      </c>
      <c r="I179" s="16" t="n">
        <f aca="false">SUMIFS('Por Fragrância'!$H$5:$H$192,'Por Fragrância'!$A$5:$A$192,$B179,'Por Fragrância'!$B$5:$B$192,$C179,'Por Fragrância'!$C$5:$C$192,$D179,'Por Fragrância'!$D$5:$D$192,$F179,'Por Fragrância'!$E$5:$E$192,$G179)</f>
        <v>0</v>
      </c>
      <c r="J179" s="16" t="n">
        <f aca="false">SUMIFS('Por Fragrância'!$I$5:$I$192,'Por Fragrância'!$A$5:$A$192,$B179,'Por Fragrância'!$B$5:$B$192,$C179,'Por Fragrância'!$C$5:$C$192,$D179,'Por Fragrância'!$D$5:$D$192,$F179,'Por Fragrância'!$E$5:$E$192,$G179)</f>
        <v>101</v>
      </c>
      <c r="K179" s="18" t="n">
        <f aca="false">IF($B$6=0,0,J179/$B$6)</f>
        <v>11.1383605072464</v>
      </c>
      <c r="L179" s="16" t="n">
        <f aca="false">ROUNDUP(K179*$B$7,0)</f>
        <v>134</v>
      </c>
      <c r="M179" s="17" t="n">
        <f aca="false">I179+L179</f>
        <v>134</v>
      </c>
    </row>
    <row r="180" customFormat="false" ht="15" hidden="false" customHeight="false" outlineLevel="0" collapsed="false">
      <c r="A180" s="4" t="s">
        <v>277</v>
      </c>
      <c r="B180" s="4" t="s">
        <v>86</v>
      </c>
      <c r="C180" s="4" t="s">
        <v>33</v>
      </c>
      <c r="D180" s="4" t="n">
        <v>500</v>
      </c>
      <c r="E180" s="4" t="s">
        <v>30</v>
      </c>
      <c r="F180" s="4" t="s">
        <v>24</v>
      </c>
      <c r="G180" s="4" t="s">
        <v>31</v>
      </c>
      <c r="H180" s="4" t="s">
        <v>33</v>
      </c>
      <c r="I180" s="16" t="n">
        <f aca="false">SUMIFS('Por Fragrância'!$H$5:$H$192,'Por Fragrância'!$A$5:$A$192,$B180,'Por Fragrância'!$B$5:$B$192,$C180,'Por Fragrância'!$C$5:$C$192,$D180,'Por Fragrância'!$D$5:$D$192,$F180,'Por Fragrância'!$E$5:$E$192,$G180)</f>
        <v>0</v>
      </c>
      <c r="J180" s="16" t="n">
        <f aca="false">SUMIFS('Por Fragrância'!$I$5:$I$192,'Por Fragrância'!$A$5:$A$192,$B180,'Por Fragrância'!$B$5:$B$192,$C180,'Por Fragrância'!$C$5:$C$192,$D180,'Por Fragrância'!$D$5:$D$192,$F180,'Por Fragrância'!$E$5:$E$192,$G180)</f>
        <v>10</v>
      </c>
      <c r="K180" s="18" t="n">
        <f aca="false">IF($B$6=0,0,J180/$B$6)</f>
        <v>1.10280797101449</v>
      </c>
      <c r="L180" s="16" t="n">
        <f aca="false">ROUNDUP(K180*$B$7,0)</f>
        <v>14</v>
      </c>
      <c r="M180" s="17" t="n">
        <f aca="false">I180+L180</f>
        <v>14</v>
      </c>
    </row>
    <row r="181" customFormat="false" ht="15" hidden="false" customHeight="false" outlineLevel="0" collapsed="false">
      <c r="A181" s="4" t="s">
        <v>278</v>
      </c>
      <c r="B181" s="4" t="s">
        <v>87</v>
      </c>
      <c r="C181" s="4" t="s">
        <v>29</v>
      </c>
      <c r="D181" s="4" t="n">
        <v>400</v>
      </c>
      <c r="E181" s="4" t="s">
        <v>30</v>
      </c>
      <c r="F181" s="4" t="s">
        <v>24</v>
      </c>
      <c r="G181" s="4" t="s">
        <v>31</v>
      </c>
      <c r="H181" s="4" t="s">
        <v>29</v>
      </c>
      <c r="I181" s="16" t="n">
        <f aca="false">SUMIFS('Por Fragrância'!$H$5:$H$192,'Por Fragrância'!$A$5:$A$192,$B181,'Por Fragrância'!$B$5:$B$192,$C181,'Por Fragrância'!$C$5:$C$192,$D181,'Por Fragrância'!$D$5:$D$192,$F181,'Por Fragrância'!$E$5:$E$192,$G181)</f>
        <v>0</v>
      </c>
      <c r="J181" s="16" t="n">
        <f aca="false">SUMIFS('Por Fragrância'!$I$5:$I$192,'Por Fragrância'!$A$5:$A$192,$B181,'Por Fragrância'!$B$5:$B$192,$C181,'Por Fragrância'!$C$5:$C$192,$D181,'Por Fragrância'!$D$5:$D$192,$F181,'Por Fragrância'!$E$5:$E$192,$G181)</f>
        <v>2</v>
      </c>
      <c r="K181" s="18" t="n">
        <f aca="false">IF($B$6=0,0,J181/$B$6)</f>
        <v>0.220561594202899</v>
      </c>
      <c r="L181" s="16" t="n">
        <f aca="false">ROUNDUP(K181*$B$7,0)</f>
        <v>3</v>
      </c>
      <c r="M181" s="17" t="n">
        <f aca="false">I181+L181</f>
        <v>3</v>
      </c>
    </row>
    <row r="182" customFormat="false" ht="15" hidden="false" customHeight="false" outlineLevel="0" collapsed="false">
      <c r="A182" s="4" t="s">
        <v>279</v>
      </c>
      <c r="B182" s="4" t="s">
        <v>90</v>
      </c>
      <c r="C182" s="4" t="s">
        <v>29</v>
      </c>
      <c r="D182" s="4" t="n">
        <v>400</v>
      </c>
      <c r="E182" s="4" t="s">
        <v>30</v>
      </c>
      <c r="F182" s="4" t="s">
        <v>24</v>
      </c>
      <c r="G182" s="4" t="s">
        <v>31</v>
      </c>
      <c r="H182" s="4" t="s">
        <v>29</v>
      </c>
      <c r="I182" s="16" t="n">
        <f aca="false">SUMIFS('Por Fragrância'!$H$5:$H$192,'Por Fragrância'!$A$5:$A$192,$B182,'Por Fragrância'!$B$5:$B$192,$C182,'Por Fragrância'!$C$5:$C$192,$D182,'Por Fragrância'!$D$5:$D$192,$F182,'Por Fragrância'!$E$5:$E$192,$G182)</f>
        <v>0</v>
      </c>
      <c r="J182" s="16" t="n">
        <f aca="false">SUMIFS('Por Fragrância'!$I$5:$I$192,'Por Fragrância'!$A$5:$A$192,$B182,'Por Fragrância'!$B$5:$B$192,$C182,'Por Fragrância'!$C$5:$C$192,$D182,'Por Fragrância'!$D$5:$D$192,$F182,'Por Fragrância'!$E$5:$E$192,$G182)</f>
        <v>63</v>
      </c>
      <c r="K182" s="18" t="n">
        <f aca="false">IF($B$6=0,0,J182/$B$6)</f>
        <v>6.94769021739131</v>
      </c>
      <c r="L182" s="16" t="n">
        <f aca="false">ROUNDUP(K182*$B$7,0)</f>
        <v>84</v>
      </c>
      <c r="M182" s="17" t="n">
        <f aca="false">I182+L182</f>
        <v>84</v>
      </c>
    </row>
    <row r="183" customFormat="false" ht="15" hidden="false" customHeight="false" outlineLevel="0" collapsed="false">
      <c r="A183" s="4" t="s">
        <v>280</v>
      </c>
      <c r="B183" s="4" t="s">
        <v>28</v>
      </c>
      <c r="C183" s="4" t="s">
        <v>29</v>
      </c>
      <c r="D183" s="4" t="n">
        <v>1000</v>
      </c>
      <c r="E183" s="4" t="s">
        <v>30</v>
      </c>
      <c r="F183" s="4" t="s">
        <v>24</v>
      </c>
      <c r="G183" s="4" t="s">
        <v>32</v>
      </c>
      <c r="H183" s="4" t="s">
        <v>29</v>
      </c>
      <c r="I183" s="16" t="n">
        <f aca="false">SUMIFS('Por Fragrância'!$H$5:$H$192,'Por Fragrância'!$A$5:$A$192,$B183,'Por Fragrância'!$B$5:$B$192,$C183,'Por Fragrância'!$C$5:$C$192,$D183,'Por Fragrância'!$D$5:$D$192,$F183,'Por Fragrância'!$E$5:$E$192,$G183)</f>
        <v>0</v>
      </c>
      <c r="J183" s="16" t="n">
        <f aca="false">SUMIFS('Por Fragrância'!$I$5:$I$192,'Por Fragrância'!$A$5:$A$192,$B183,'Por Fragrância'!$B$5:$B$192,$C183,'Por Fragrância'!$C$5:$C$192,$D183,'Por Fragrância'!$D$5:$D$192,$F183,'Por Fragrância'!$E$5:$E$192,$G183)</f>
        <v>21</v>
      </c>
      <c r="K183" s="18" t="n">
        <f aca="false">IF($B$6=0,0,J183/$B$6)</f>
        <v>2.31589673913044</v>
      </c>
      <c r="L183" s="16" t="n">
        <f aca="false">ROUNDUP(K183*$B$7,0)</f>
        <v>28</v>
      </c>
      <c r="M183" s="17" t="n">
        <f aca="false">I183+L183</f>
        <v>28</v>
      </c>
    </row>
    <row r="184" customFormat="false" ht="15" hidden="false" customHeight="false" outlineLevel="0" collapsed="false">
      <c r="A184" s="4" t="s">
        <v>281</v>
      </c>
      <c r="B184" s="4" t="s">
        <v>37</v>
      </c>
      <c r="C184" s="4" t="s">
        <v>29</v>
      </c>
      <c r="D184" s="4" t="n">
        <v>1000</v>
      </c>
      <c r="E184" s="4" t="s">
        <v>30</v>
      </c>
      <c r="F184" s="4" t="s">
        <v>24</v>
      </c>
      <c r="G184" s="4" t="s">
        <v>32</v>
      </c>
      <c r="H184" s="4" t="s">
        <v>29</v>
      </c>
      <c r="I184" s="16" t="n">
        <f aca="false">SUMIFS('Por Fragrância'!$H$5:$H$192,'Por Fragrância'!$A$5:$A$192,$B184,'Por Fragrância'!$B$5:$B$192,$C184,'Por Fragrância'!$C$5:$C$192,$D184,'Por Fragrância'!$D$5:$D$192,$F184,'Por Fragrância'!$E$5:$E$192,$G184)</f>
        <v>0</v>
      </c>
      <c r="J184" s="16" t="n">
        <f aca="false">SUMIFS('Por Fragrância'!$I$5:$I$192,'Por Fragrância'!$A$5:$A$192,$B184,'Por Fragrância'!$B$5:$B$192,$C184,'Por Fragrância'!$C$5:$C$192,$D184,'Por Fragrância'!$D$5:$D$192,$F184,'Por Fragrância'!$E$5:$E$192,$G184)</f>
        <v>15</v>
      </c>
      <c r="K184" s="18" t="n">
        <f aca="false">IF($B$6=0,0,J184/$B$6)</f>
        <v>1.65421195652174</v>
      </c>
      <c r="L184" s="16" t="n">
        <f aca="false">ROUNDUP(K184*$B$7,0)</f>
        <v>20</v>
      </c>
      <c r="M184" s="17" t="n">
        <f aca="false">I184+L184</f>
        <v>20</v>
      </c>
    </row>
    <row r="185" customFormat="false" ht="15" hidden="false" customHeight="false" outlineLevel="0" collapsed="false">
      <c r="A185" s="4" t="s">
        <v>282</v>
      </c>
      <c r="B185" s="4" t="s">
        <v>38</v>
      </c>
      <c r="C185" s="4" t="s">
        <v>29</v>
      </c>
      <c r="D185" s="4" t="n">
        <v>1000</v>
      </c>
      <c r="E185" s="4" t="s">
        <v>30</v>
      </c>
      <c r="F185" s="4" t="s">
        <v>24</v>
      </c>
      <c r="G185" s="4" t="s">
        <v>32</v>
      </c>
      <c r="H185" s="4" t="s">
        <v>29</v>
      </c>
      <c r="I185" s="16" t="n">
        <f aca="false">SUMIFS('Por Fragrância'!$H$5:$H$192,'Por Fragrância'!$A$5:$A$192,$B185,'Por Fragrância'!$B$5:$B$192,$C185,'Por Fragrância'!$C$5:$C$192,$D185,'Por Fragrância'!$D$5:$D$192,$F185,'Por Fragrância'!$E$5:$E$192,$G185)</f>
        <v>0</v>
      </c>
      <c r="J185" s="16" t="n">
        <f aca="false">SUMIFS('Por Fragrância'!$I$5:$I$192,'Por Fragrância'!$A$5:$A$192,$B185,'Por Fragrância'!$B$5:$B$192,$C185,'Por Fragrância'!$C$5:$C$192,$D185,'Por Fragrância'!$D$5:$D$192,$F185,'Por Fragrância'!$E$5:$E$192,$G185)</f>
        <v>6</v>
      </c>
      <c r="K185" s="18" t="n">
        <f aca="false">IF($B$6=0,0,J185/$B$6)</f>
        <v>0.661684782608696</v>
      </c>
      <c r="L185" s="16" t="n">
        <f aca="false">ROUNDUP(K185*$B$7,0)</f>
        <v>8</v>
      </c>
      <c r="M185" s="17" t="n">
        <f aca="false">I185+L185</f>
        <v>8</v>
      </c>
    </row>
    <row r="186" customFormat="false" ht="15" hidden="false" customHeight="false" outlineLevel="0" collapsed="false">
      <c r="A186" s="4" t="s">
        <v>283</v>
      </c>
      <c r="B186" s="4" t="s">
        <v>38</v>
      </c>
      <c r="C186" s="4" t="s">
        <v>33</v>
      </c>
      <c r="D186" s="4" t="n">
        <v>1000</v>
      </c>
      <c r="E186" s="4" t="s">
        <v>30</v>
      </c>
      <c r="F186" s="4" t="s">
        <v>24</v>
      </c>
      <c r="G186" s="4" t="s">
        <v>32</v>
      </c>
      <c r="H186" s="4" t="s">
        <v>33</v>
      </c>
      <c r="I186" s="16" t="n">
        <f aca="false">SUMIFS('Por Fragrância'!$H$5:$H$192,'Por Fragrância'!$A$5:$A$192,$B186,'Por Fragrância'!$B$5:$B$192,$C186,'Por Fragrância'!$C$5:$C$192,$D186,'Por Fragrância'!$D$5:$D$192,$F186,'Por Fragrância'!$E$5:$E$192,$G186)</f>
        <v>0</v>
      </c>
      <c r="J186" s="16" t="n">
        <f aca="false">SUMIFS('Por Fragrância'!$I$5:$I$192,'Por Fragrância'!$A$5:$A$192,$B186,'Por Fragrância'!$B$5:$B$192,$C186,'Por Fragrância'!$C$5:$C$192,$D186,'Por Fragrância'!$D$5:$D$192,$F186,'Por Fragrância'!$E$5:$E$192,$G186)</f>
        <v>4</v>
      </c>
      <c r="K186" s="18" t="n">
        <f aca="false">IF($B$6=0,0,J186/$B$6)</f>
        <v>0.441123188405797</v>
      </c>
      <c r="L186" s="16" t="n">
        <f aca="false">ROUNDUP(K186*$B$7,0)</f>
        <v>6</v>
      </c>
      <c r="M186" s="17" t="n">
        <f aca="false">I186+L186</f>
        <v>6</v>
      </c>
    </row>
    <row r="187" customFormat="false" ht="15" hidden="false" customHeight="false" outlineLevel="0" collapsed="false">
      <c r="A187" s="4" t="s">
        <v>284</v>
      </c>
      <c r="B187" s="4" t="s">
        <v>44</v>
      </c>
      <c r="C187" s="4" t="s">
        <v>29</v>
      </c>
      <c r="D187" s="4" t="n">
        <v>1000</v>
      </c>
      <c r="E187" s="4" t="s">
        <v>30</v>
      </c>
      <c r="F187" s="4" t="s">
        <v>24</v>
      </c>
      <c r="G187" s="4" t="s">
        <v>32</v>
      </c>
      <c r="H187" s="4" t="s">
        <v>29</v>
      </c>
      <c r="I187" s="16" t="n">
        <f aca="false">SUMIFS('Por Fragrância'!$H$5:$H$192,'Por Fragrância'!$A$5:$A$192,$B187,'Por Fragrância'!$B$5:$B$192,$C187,'Por Fragrância'!$C$5:$C$192,$D187,'Por Fragrância'!$D$5:$D$192,$F187,'Por Fragrância'!$E$5:$E$192,$G187)</f>
        <v>0</v>
      </c>
      <c r="J187" s="16" t="n">
        <f aca="false">SUMIFS('Por Fragrância'!$I$5:$I$192,'Por Fragrância'!$A$5:$A$192,$B187,'Por Fragrância'!$B$5:$B$192,$C187,'Por Fragrância'!$C$5:$C$192,$D187,'Por Fragrância'!$D$5:$D$192,$F187,'Por Fragrância'!$E$5:$E$192,$G187)</f>
        <v>18</v>
      </c>
      <c r="K187" s="18" t="n">
        <f aca="false">IF($B$6=0,0,J187/$B$6)</f>
        <v>1.98505434782609</v>
      </c>
      <c r="L187" s="16" t="n">
        <f aca="false">ROUNDUP(K187*$B$7,0)</f>
        <v>24</v>
      </c>
      <c r="M187" s="17" t="n">
        <f aca="false">I187+L187</f>
        <v>24</v>
      </c>
    </row>
    <row r="188" customFormat="false" ht="15" hidden="false" customHeight="false" outlineLevel="0" collapsed="false">
      <c r="A188" s="4" t="s">
        <v>285</v>
      </c>
      <c r="B188" s="4" t="s">
        <v>45</v>
      </c>
      <c r="C188" s="4" t="s">
        <v>29</v>
      </c>
      <c r="D188" s="4" t="n">
        <v>1000</v>
      </c>
      <c r="E188" s="4" t="s">
        <v>30</v>
      </c>
      <c r="F188" s="4" t="s">
        <v>24</v>
      </c>
      <c r="G188" s="4" t="s">
        <v>32</v>
      </c>
      <c r="H188" s="4" t="s">
        <v>29</v>
      </c>
      <c r="I188" s="16" t="n">
        <f aca="false">SUMIFS('Por Fragrância'!$H$5:$H$192,'Por Fragrância'!$A$5:$A$192,$B188,'Por Fragrância'!$B$5:$B$192,$C188,'Por Fragrância'!$C$5:$C$192,$D188,'Por Fragrância'!$D$5:$D$192,$F188,'Por Fragrância'!$E$5:$E$192,$G188)</f>
        <v>0</v>
      </c>
      <c r="J188" s="16" t="n">
        <f aca="false">SUMIFS('Por Fragrância'!$I$5:$I$192,'Por Fragrância'!$A$5:$A$192,$B188,'Por Fragrância'!$B$5:$B$192,$C188,'Por Fragrância'!$C$5:$C$192,$D188,'Por Fragrância'!$D$5:$D$192,$F188,'Por Fragrância'!$E$5:$E$192,$G188)</f>
        <v>8</v>
      </c>
      <c r="K188" s="18" t="n">
        <f aca="false">IF($B$6=0,0,J188/$B$6)</f>
        <v>0.882246376811594</v>
      </c>
      <c r="L188" s="16" t="n">
        <f aca="false">ROUNDUP(K188*$B$7,0)</f>
        <v>11</v>
      </c>
      <c r="M188" s="17" t="n">
        <f aca="false">I188+L188</f>
        <v>11</v>
      </c>
    </row>
    <row r="189" customFormat="false" ht="15" hidden="false" customHeight="false" outlineLevel="0" collapsed="false">
      <c r="A189" s="4" t="s">
        <v>286</v>
      </c>
      <c r="B189" s="4" t="s">
        <v>48</v>
      </c>
      <c r="C189" s="4" t="s">
        <v>33</v>
      </c>
      <c r="D189" s="4" t="n">
        <v>1000</v>
      </c>
      <c r="E189" s="4" t="s">
        <v>30</v>
      </c>
      <c r="F189" s="4" t="s">
        <v>24</v>
      </c>
      <c r="G189" s="4" t="s">
        <v>32</v>
      </c>
      <c r="H189" s="4" t="s">
        <v>33</v>
      </c>
      <c r="I189" s="16" t="n">
        <f aca="false">SUMIFS('Por Fragrância'!$H$5:$H$192,'Por Fragrância'!$A$5:$A$192,$B189,'Por Fragrância'!$B$5:$B$192,$C189,'Por Fragrância'!$C$5:$C$192,$D189,'Por Fragrância'!$D$5:$D$192,$F189,'Por Fragrância'!$E$5:$E$192,$G189)</f>
        <v>0</v>
      </c>
      <c r="J189" s="16" t="n">
        <f aca="false">SUMIFS('Por Fragrância'!$I$5:$I$192,'Por Fragrância'!$A$5:$A$192,$B189,'Por Fragrância'!$B$5:$B$192,$C189,'Por Fragrância'!$C$5:$C$192,$D189,'Por Fragrância'!$D$5:$D$192,$F189,'Por Fragrância'!$E$5:$E$192,$G189)</f>
        <v>9</v>
      </c>
      <c r="K189" s="18" t="n">
        <f aca="false">IF($B$6=0,0,J189/$B$6)</f>
        <v>0.992527173913044</v>
      </c>
      <c r="L189" s="16" t="n">
        <f aca="false">ROUNDUP(K189*$B$7,0)</f>
        <v>12</v>
      </c>
      <c r="M189" s="17" t="n">
        <f aca="false">I189+L189</f>
        <v>12</v>
      </c>
    </row>
    <row r="190" customFormat="false" ht="15" hidden="false" customHeight="false" outlineLevel="0" collapsed="false">
      <c r="A190" s="4" t="s">
        <v>287</v>
      </c>
      <c r="B190" s="4" t="s">
        <v>60</v>
      </c>
      <c r="C190" s="4" t="s">
        <v>29</v>
      </c>
      <c r="D190" s="4" t="n">
        <v>1000</v>
      </c>
      <c r="E190" s="4" t="s">
        <v>30</v>
      </c>
      <c r="F190" s="4" t="s">
        <v>24</v>
      </c>
      <c r="G190" s="4" t="s">
        <v>32</v>
      </c>
      <c r="H190" s="4" t="s">
        <v>29</v>
      </c>
      <c r="I190" s="16" t="n">
        <f aca="false">SUMIFS('Por Fragrância'!$H$5:$H$192,'Por Fragrância'!$A$5:$A$192,$B190,'Por Fragrância'!$B$5:$B$192,$C190,'Por Fragrância'!$C$5:$C$192,$D190,'Por Fragrância'!$D$5:$D$192,$F190,'Por Fragrância'!$E$5:$E$192,$G190)</f>
        <v>0</v>
      </c>
      <c r="J190" s="16" t="n">
        <f aca="false">SUMIFS('Por Fragrância'!$I$5:$I$192,'Por Fragrância'!$A$5:$A$192,$B190,'Por Fragrância'!$B$5:$B$192,$C190,'Por Fragrância'!$C$5:$C$192,$D190,'Por Fragrância'!$D$5:$D$192,$F190,'Por Fragrância'!$E$5:$E$192,$G190)</f>
        <v>18</v>
      </c>
      <c r="K190" s="18" t="n">
        <f aca="false">IF($B$6=0,0,J190/$B$6)</f>
        <v>1.98505434782609</v>
      </c>
      <c r="L190" s="16" t="n">
        <f aca="false">ROUNDUP(K190*$B$7,0)</f>
        <v>24</v>
      </c>
      <c r="M190" s="17" t="n">
        <f aca="false">I190+L190</f>
        <v>24</v>
      </c>
    </row>
    <row r="191" customFormat="false" ht="15" hidden="false" customHeight="false" outlineLevel="0" collapsed="false">
      <c r="A191" s="4" t="s">
        <v>288</v>
      </c>
      <c r="B191" s="4" t="s">
        <v>60</v>
      </c>
      <c r="C191" s="4" t="s">
        <v>33</v>
      </c>
      <c r="D191" s="4" t="n">
        <v>1000</v>
      </c>
      <c r="E191" s="4" t="s">
        <v>30</v>
      </c>
      <c r="F191" s="4" t="s">
        <v>24</v>
      </c>
      <c r="G191" s="4" t="s">
        <v>32</v>
      </c>
      <c r="H191" s="4" t="s">
        <v>33</v>
      </c>
      <c r="I191" s="16" t="n">
        <f aca="false">SUMIFS('Por Fragrância'!$H$5:$H$192,'Por Fragrância'!$A$5:$A$192,$B191,'Por Fragrância'!$B$5:$B$192,$C191,'Por Fragrância'!$C$5:$C$192,$D191,'Por Fragrância'!$D$5:$D$192,$F191,'Por Fragrância'!$E$5:$E$192,$G191)</f>
        <v>0</v>
      </c>
      <c r="J191" s="16" t="n">
        <f aca="false">SUMIFS('Por Fragrância'!$I$5:$I$192,'Por Fragrância'!$A$5:$A$192,$B191,'Por Fragrância'!$B$5:$B$192,$C191,'Por Fragrância'!$C$5:$C$192,$D191,'Por Fragrância'!$D$5:$D$192,$F191,'Por Fragrância'!$E$5:$E$192,$G191)</f>
        <v>18</v>
      </c>
      <c r="K191" s="18" t="n">
        <f aca="false">IF($B$6=0,0,J191/$B$6)</f>
        <v>1.98505434782609</v>
      </c>
      <c r="L191" s="16" t="n">
        <f aca="false">ROUNDUP(K191*$B$7,0)</f>
        <v>24</v>
      </c>
      <c r="M191" s="17" t="n">
        <f aca="false">I191+L191</f>
        <v>24</v>
      </c>
    </row>
    <row r="192" customFormat="false" ht="15" hidden="false" customHeight="false" outlineLevel="0" collapsed="false">
      <c r="A192" s="4" t="s">
        <v>289</v>
      </c>
      <c r="B192" s="4" t="s">
        <v>62</v>
      </c>
      <c r="C192" s="4" t="s">
        <v>29</v>
      </c>
      <c r="D192" s="4" t="n">
        <v>1000</v>
      </c>
      <c r="E192" s="4" t="s">
        <v>30</v>
      </c>
      <c r="F192" s="4" t="s">
        <v>24</v>
      </c>
      <c r="G192" s="4" t="s">
        <v>32</v>
      </c>
      <c r="H192" s="4" t="s">
        <v>29</v>
      </c>
      <c r="I192" s="16" t="n">
        <f aca="false">SUMIFS('Por Fragrância'!$H$5:$H$192,'Por Fragrância'!$A$5:$A$192,$B192,'Por Fragrância'!$B$5:$B$192,$C192,'Por Fragrância'!$C$5:$C$192,$D192,'Por Fragrância'!$D$5:$D$192,$F192,'Por Fragrância'!$E$5:$E$192,$G192)</f>
        <v>0</v>
      </c>
      <c r="J192" s="16" t="n">
        <f aca="false">SUMIFS('Por Fragrância'!$I$5:$I$192,'Por Fragrância'!$A$5:$A$192,$B192,'Por Fragrância'!$B$5:$B$192,$C192,'Por Fragrância'!$C$5:$C$192,$D192,'Por Fragrância'!$D$5:$D$192,$F192,'Por Fragrância'!$E$5:$E$192,$G192)</f>
        <v>2</v>
      </c>
      <c r="K192" s="18" t="n">
        <f aca="false">IF($B$6=0,0,J192/$B$6)</f>
        <v>0.220561594202899</v>
      </c>
      <c r="L192" s="16" t="n">
        <f aca="false">ROUNDUP(K192*$B$7,0)</f>
        <v>3</v>
      </c>
      <c r="M192" s="17" t="n">
        <f aca="false">I192+L192</f>
        <v>3</v>
      </c>
    </row>
    <row r="193" customFormat="false" ht="15" hidden="false" customHeight="false" outlineLevel="0" collapsed="false">
      <c r="A193" s="4" t="s">
        <v>290</v>
      </c>
      <c r="B193" s="4" t="s">
        <v>64</v>
      </c>
      <c r="C193" s="4" t="s">
        <v>33</v>
      </c>
      <c r="D193" s="4" t="n">
        <v>1000</v>
      </c>
      <c r="E193" s="4" t="s">
        <v>30</v>
      </c>
      <c r="F193" s="4" t="s">
        <v>24</v>
      </c>
      <c r="G193" s="4" t="s">
        <v>32</v>
      </c>
      <c r="H193" s="4" t="s">
        <v>33</v>
      </c>
      <c r="I193" s="16" t="n">
        <f aca="false">SUMIFS('Por Fragrância'!$H$5:$H$192,'Por Fragrância'!$A$5:$A$192,$B193,'Por Fragrância'!$B$5:$B$192,$C193,'Por Fragrância'!$C$5:$C$192,$D193,'Por Fragrância'!$D$5:$D$192,$F193,'Por Fragrância'!$E$5:$E$192,$G193)</f>
        <v>0</v>
      </c>
      <c r="J193" s="16" t="n">
        <f aca="false">SUMIFS('Por Fragrância'!$I$5:$I$192,'Por Fragrância'!$A$5:$A$192,$B193,'Por Fragrância'!$B$5:$B$192,$C193,'Por Fragrância'!$C$5:$C$192,$D193,'Por Fragrância'!$D$5:$D$192,$F193,'Por Fragrância'!$E$5:$E$192,$G193)</f>
        <v>7</v>
      </c>
      <c r="K193" s="18" t="n">
        <f aca="false">IF($B$6=0,0,J193/$B$6)</f>
        <v>0.771965579710145</v>
      </c>
      <c r="L193" s="16" t="n">
        <f aca="false">ROUNDUP(K193*$B$7,0)</f>
        <v>10</v>
      </c>
      <c r="M193" s="17" t="n">
        <f aca="false">I193+L193</f>
        <v>10</v>
      </c>
    </row>
    <row r="194" customFormat="false" ht="15" hidden="false" customHeight="false" outlineLevel="0" collapsed="false">
      <c r="A194" s="4" t="s">
        <v>291</v>
      </c>
      <c r="B194" s="4" t="s">
        <v>65</v>
      </c>
      <c r="C194" s="4" t="s">
        <v>29</v>
      </c>
      <c r="D194" s="4" t="n">
        <v>1000</v>
      </c>
      <c r="E194" s="4" t="s">
        <v>30</v>
      </c>
      <c r="F194" s="4" t="s">
        <v>24</v>
      </c>
      <c r="G194" s="4" t="s">
        <v>32</v>
      </c>
      <c r="H194" s="4" t="s">
        <v>29</v>
      </c>
      <c r="I194" s="16" t="n">
        <f aca="false">SUMIFS('Por Fragrância'!$H$5:$H$192,'Por Fragrância'!$A$5:$A$192,$B194,'Por Fragrância'!$B$5:$B$192,$C194,'Por Fragrância'!$C$5:$C$192,$D194,'Por Fragrância'!$D$5:$D$192,$F194,'Por Fragrância'!$E$5:$E$192,$G194)</f>
        <v>0</v>
      </c>
      <c r="J194" s="16" t="n">
        <f aca="false">SUMIFS('Por Fragrância'!$I$5:$I$192,'Por Fragrância'!$A$5:$A$192,$B194,'Por Fragrância'!$B$5:$B$192,$C194,'Por Fragrância'!$C$5:$C$192,$D194,'Por Fragrância'!$D$5:$D$192,$F194,'Por Fragrância'!$E$5:$E$192,$G194)</f>
        <v>9</v>
      </c>
      <c r="K194" s="18" t="n">
        <f aca="false">IF($B$6=0,0,J194/$B$6)</f>
        <v>0.992527173913044</v>
      </c>
      <c r="L194" s="16" t="n">
        <f aca="false">ROUNDUP(K194*$B$7,0)</f>
        <v>12</v>
      </c>
      <c r="M194" s="17" t="n">
        <f aca="false">I194+L194</f>
        <v>12</v>
      </c>
    </row>
    <row r="195" customFormat="false" ht="15" hidden="false" customHeight="false" outlineLevel="0" collapsed="false">
      <c r="A195" s="4" t="s">
        <v>292</v>
      </c>
      <c r="B195" s="4" t="s">
        <v>66</v>
      </c>
      <c r="C195" s="4" t="s">
        <v>29</v>
      </c>
      <c r="D195" s="4" t="n">
        <v>1000</v>
      </c>
      <c r="E195" s="4" t="s">
        <v>30</v>
      </c>
      <c r="F195" s="4" t="s">
        <v>24</v>
      </c>
      <c r="G195" s="4" t="s">
        <v>32</v>
      </c>
      <c r="H195" s="4" t="s">
        <v>29</v>
      </c>
      <c r="I195" s="16" t="n">
        <f aca="false">SUMIFS('Por Fragrância'!$H$5:$H$192,'Por Fragrância'!$A$5:$A$192,$B195,'Por Fragrância'!$B$5:$B$192,$C195,'Por Fragrância'!$C$5:$C$192,$D195,'Por Fragrância'!$D$5:$D$192,$F195,'Por Fragrância'!$E$5:$E$192,$G195)</f>
        <v>0</v>
      </c>
      <c r="J195" s="16" t="n">
        <f aca="false">SUMIFS('Por Fragrância'!$I$5:$I$192,'Por Fragrância'!$A$5:$A$192,$B195,'Por Fragrância'!$B$5:$B$192,$C195,'Por Fragrância'!$C$5:$C$192,$D195,'Por Fragrância'!$D$5:$D$192,$F195,'Por Fragrância'!$E$5:$E$192,$G195)</f>
        <v>22</v>
      </c>
      <c r="K195" s="18" t="n">
        <f aca="false">IF($B$6=0,0,J195/$B$6)</f>
        <v>2.42617753623188</v>
      </c>
      <c r="L195" s="16" t="n">
        <f aca="false">ROUNDUP(K195*$B$7,0)</f>
        <v>30</v>
      </c>
      <c r="M195" s="17" t="n">
        <f aca="false">I195+L195</f>
        <v>30</v>
      </c>
    </row>
    <row r="196" customFormat="false" ht="15" hidden="false" customHeight="false" outlineLevel="0" collapsed="false">
      <c r="A196" s="4" t="s">
        <v>293</v>
      </c>
      <c r="B196" s="4" t="s">
        <v>72</v>
      </c>
      <c r="C196" s="4" t="s">
        <v>33</v>
      </c>
      <c r="D196" s="4" t="n">
        <v>1000</v>
      </c>
      <c r="E196" s="4" t="s">
        <v>30</v>
      </c>
      <c r="F196" s="4" t="s">
        <v>24</v>
      </c>
      <c r="G196" s="4" t="s">
        <v>32</v>
      </c>
      <c r="H196" s="4" t="s">
        <v>33</v>
      </c>
      <c r="I196" s="16" t="n">
        <f aca="false">SUMIFS('Por Fragrância'!$H$5:$H$192,'Por Fragrância'!$A$5:$A$192,$B196,'Por Fragrância'!$B$5:$B$192,$C196,'Por Fragrância'!$C$5:$C$192,$D196,'Por Fragrância'!$D$5:$D$192,$F196,'Por Fragrância'!$E$5:$E$192,$G196)</f>
        <v>0</v>
      </c>
      <c r="J196" s="16" t="n">
        <f aca="false">SUMIFS('Por Fragrância'!$I$5:$I$192,'Por Fragrância'!$A$5:$A$192,$B196,'Por Fragrância'!$B$5:$B$192,$C196,'Por Fragrância'!$C$5:$C$192,$D196,'Por Fragrância'!$D$5:$D$192,$F196,'Por Fragrância'!$E$5:$E$192,$G196)</f>
        <v>3</v>
      </c>
      <c r="K196" s="18" t="n">
        <f aca="false">IF($B$6=0,0,J196/$B$6)</f>
        <v>0.330842391304348</v>
      </c>
      <c r="L196" s="16" t="n">
        <f aca="false">ROUNDUP(K196*$B$7,0)</f>
        <v>4</v>
      </c>
      <c r="M196" s="17" t="n">
        <f aca="false">I196+L196</f>
        <v>4</v>
      </c>
    </row>
    <row r="197" customFormat="false" ht="15" hidden="false" customHeight="false" outlineLevel="0" collapsed="false">
      <c r="A197" s="4" t="s">
        <v>294</v>
      </c>
      <c r="B197" s="4" t="s">
        <v>77</v>
      </c>
      <c r="C197" s="4" t="s">
        <v>33</v>
      </c>
      <c r="D197" s="4" t="n">
        <v>1000</v>
      </c>
      <c r="E197" s="4" t="s">
        <v>30</v>
      </c>
      <c r="F197" s="4" t="s">
        <v>24</v>
      </c>
      <c r="G197" s="4" t="s">
        <v>32</v>
      </c>
      <c r="H197" s="4" t="s">
        <v>33</v>
      </c>
      <c r="I197" s="16" t="n">
        <f aca="false">SUMIFS('Por Fragrância'!$H$5:$H$192,'Por Fragrância'!$A$5:$A$192,$B197,'Por Fragrância'!$B$5:$B$192,$C197,'Por Fragrância'!$C$5:$C$192,$D197,'Por Fragrância'!$D$5:$D$192,$F197,'Por Fragrância'!$E$5:$E$192,$G197)</f>
        <v>0</v>
      </c>
      <c r="J197" s="16" t="n">
        <f aca="false">SUMIFS('Por Fragrância'!$I$5:$I$192,'Por Fragrância'!$A$5:$A$192,$B197,'Por Fragrância'!$B$5:$B$192,$C197,'Por Fragrância'!$C$5:$C$192,$D197,'Por Fragrância'!$D$5:$D$192,$F197,'Por Fragrância'!$E$5:$E$192,$G197)</f>
        <v>9</v>
      </c>
      <c r="K197" s="18" t="n">
        <f aca="false">IF($B$6=0,0,J197/$B$6)</f>
        <v>0.992527173913044</v>
      </c>
      <c r="L197" s="16" t="n">
        <f aca="false">ROUNDUP(K197*$B$7,0)</f>
        <v>12</v>
      </c>
      <c r="M197" s="17" t="n">
        <f aca="false">I197+L197</f>
        <v>12</v>
      </c>
    </row>
    <row r="198" customFormat="false" ht="15" hidden="false" customHeight="false" outlineLevel="0" collapsed="false">
      <c r="A198" s="4" t="s">
        <v>295</v>
      </c>
      <c r="B198" s="4" t="s">
        <v>79</v>
      </c>
      <c r="C198" s="4" t="s">
        <v>29</v>
      </c>
      <c r="D198" s="4" t="n">
        <v>1000</v>
      </c>
      <c r="E198" s="4" t="s">
        <v>30</v>
      </c>
      <c r="F198" s="4" t="s">
        <v>24</v>
      </c>
      <c r="G198" s="4" t="s">
        <v>32</v>
      </c>
      <c r="H198" s="4" t="s">
        <v>29</v>
      </c>
      <c r="I198" s="16" t="n">
        <f aca="false">SUMIFS('Por Fragrância'!$H$5:$H$192,'Por Fragrância'!$A$5:$A$192,$B198,'Por Fragrância'!$B$5:$B$192,$C198,'Por Fragrância'!$C$5:$C$192,$D198,'Por Fragrância'!$D$5:$D$192,$F198,'Por Fragrância'!$E$5:$E$192,$G198)</f>
        <v>0</v>
      </c>
      <c r="J198" s="16" t="n">
        <f aca="false">SUMIFS('Por Fragrância'!$I$5:$I$192,'Por Fragrância'!$A$5:$A$192,$B198,'Por Fragrância'!$B$5:$B$192,$C198,'Por Fragrância'!$C$5:$C$192,$D198,'Por Fragrância'!$D$5:$D$192,$F198,'Por Fragrância'!$E$5:$E$192,$G198)</f>
        <v>4</v>
      </c>
      <c r="K198" s="18" t="n">
        <f aca="false">IF($B$6=0,0,J198/$B$6)</f>
        <v>0.441123188405797</v>
      </c>
      <c r="L198" s="16" t="n">
        <f aca="false">ROUNDUP(K198*$B$7,0)</f>
        <v>6</v>
      </c>
      <c r="M198" s="17" t="n">
        <f aca="false">I198+L198</f>
        <v>6</v>
      </c>
    </row>
    <row r="199" customFormat="false" ht="15" hidden="false" customHeight="false" outlineLevel="0" collapsed="false">
      <c r="A199" s="4" t="s">
        <v>296</v>
      </c>
      <c r="B199" s="4" t="s">
        <v>83</v>
      </c>
      <c r="C199" s="4" t="s">
        <v>29</v>
      </c>
      <c r="D199" s="4" t="n">
        <v>1000</v>
      </c>
      <c r="E199" s="4" t="s">
        <v>30</v>
      </c>
      <c r="F199" s="4" t="s">
        <v>24</v>
      </c>
      <c r="G199" s="4" t="s">
        <v>32</v>
      </c>
      <c r="H199" s="4" t="s">
        <v>29</v>
      </c>
      <c r="I199" s="16" t="n">
        <f aca="false">SUMIFS('Por Fragrância'!$H$5:$H$192,'Por Fragrância'!$A$5:$A$192,$B199,'Por Fragrância'!$B$5:$B$192,$C199,'Por Fragrância'!$C$5:$C$192,$D199,'Por Fragrância'!$D$5:$D$192,$F199,'Por Fragrância'!$E$5:$E$192,$G199)</f>
        <v>0</v>
      </c>
      <c r="J199" s="16" t="n">
        <f aca="false">SUMIFS('Por Fragrância'!$I$5:$I$192,'Por Fragrância'!$A$5:$A$192,$B199,'Por Fragrância'!$B$5:$B$192,$C199,'Por Fragrância'!$C$5:$C$192,$D199,'Por Fragrância'!$D$5:$D$192,$F199,'Por Fragrância'!$E$5:$E$192,$G199)</f>
        <v>4</v>
      </c>
      <c r="K199" s="18" t="n">
        <f aca="false">IF($B$6=0,0,J199/$B$6)</f>
        <v>0.441123188405797</v>
      </c>
      <c r="L199" s="16" t="n">
        <f aca="false">ROUNDUP(K199*$B$7,0)</f>
        <v>6</v>
      </c>
      <c r="M199" s="17" t="n">
        <f aca="false">I199+L199</f>
        <v>6</v>
      </c>
    </row>
    <row r="200" customFormat="false" ht="15" hidden="false" customHeight="false" outlineLevel="0" collapsed="false">
      <c r="A200" s="4" t="s">
        <v>297</v>
      </c>
      <c r="B200" s="4" t="s">
        <v>84</v>
      </c>
      <c r="C200" s="4" t="s">
        <v>29</v>
      </c>
      <c r="D200" s="4" t="n">
        <v>1000</v>
      </c>
      <c r="E200" s="4" t="s">
        <v>30</v>
      </c>
      <c r="F200" s="4" t="s">
        <v>24</v>
      </c>
      <c r="G200" s="4" t="s">
        <v>32</v>
      </c>
      <c r="H200" s="4" t="s">
        <v>29</v>
      </c>
      <c r="I200" s="16" t="n">
        <f aca="false">SUMIFS('Por Fragrância'!$H$5:$H$192,'Por Fragrância'!$A$5:$A$192,$B200,'Por Fragrância'!$B$5:$B$192,$C200,'Por Fragrância'!$C$5:$C$192,$D200,'Por Fragrância'!$D$5:$D$192,$F200,'Por Fragrância'!$E$5:$E$192,$G200)</f>
        <v>0</v>
      </c>
      <c r="J200" s="16" t="n">
        <f aca="false">SUMIFS('Por Fragrância'!$I$5:$I$192,'Por Fragrância'!$A$5:$A$192,$B200,'Por Fragrância'!$B$5:$B$192,$C200,'Por Fragrância'!$C$5:$C$192,$D200,'Por Fragrância'!$D$5:$D$192,$F200,'Por Fragrância'!$E$5:$E$192,$G200)</f>
        <v>20</v>
      </c>
      <c r="K200" s="18" t="n">
        <f aca="false">IF($B$6=0,0,J200/$B$6)</f>
        <v>2.20561594202899</v>
      </c>
      <c r="L200" s="16" t="n">
        <f aca="false">ROUNDUP(K200*$B$7,0)</f>
        <v>27</v>
      </c>
      <c r="M200" s="17" t="n">
        <f aca="false">I200+L200</f>
        <v>27</v>
      </c>
    </row>
    <row r="201" customFormat="false" ht="15" hidden="false" customHeight="false" outlineLevel="0" collapsed="false">
      <c r="A201" s="4" t="s">
        <v>298</v>
      </c>
      <c r="B201" s="4" t="s">
        <v>28</v>
      </c>
      <c r="C201" s="4" t="s">
        <v>29</v>
      </c>
      <c r="D201" s="4" t="n">
        <v>160</v>
      </c>
      <c r="E201" s="4" t="s">
        <v>30</v>
      </c>
      <c r="F201" s="4" t="s">
        <v>24</v>
      </c>
      <c r="G201" s="4" t="s">
        <v>110</v>
      </c>
      <c r="H201" s="4" t="s">
        <v>29</v>
      </c>
      <c r="I201" s="16" t="n">
        <f aca="false">SUMIFS('Por Fragrância'!$H$5:$H$192,'Por Fragrância'!$A$5:$A$192,$B201,'Por Fragrância'!$B$5:$B$192,$C201,'Por Fragrância'!$C$5:$C$192,$D201,'Por Fragrância'!$D$5:$D$192,$F201,'Por Fragrância'!$E$5:$E$192,$G201)</f>
        <v>0</v>
      </c>
      <c r="J201" s="16" t="n">
        <f aca="false">SUMIFS('Por Fragrância'!$I$5:$I$192,'Por Fragrância'!$A$5:$A$192,$B201,'Por Fragrância'!$B$5:$B$192,$C201,'Por Fragrância'!$C$5:$C$192,$D201,'Por Fragrância'!$D$5:$D$192,$F201,'Por Fragrância'!$E$5:$E$192,$G201)</f>
        <v>29</v>
      </c>
      <c r="K201" s="18" t="n">
        <f aca="false">IF($B$6=0,0,J201/$B$6)</f>
        <v>3.19814311594203</v>
      </c>
      <c r="L201" s="16" t="n">
        <f aca="false">ROUNDUP(K201*$B$7,0)</f>
        <v>39</v>
      </c>
      <c r="M201" s="17" t="n">
        <f aca="false">I201+L201</f>
        <v>39</v>
      </c>
    </row>
    <row r="202" customFormat="false" ht="15" hidden="false" customHeight="false" outlineLevel="0" collapsed="false">
      <c r="A202" s="4" t="s">
        <v>299</v>
      </c>
      <c r="B202" s="4" t="s">
        <v>28</v>
      </c>
      <c r="C202" s="4" t="s">
        <v>29</v>
      </c>
      <c r="D202" s="4" t="n">
        <v>5000</v>
      </c>
      <c r="E202" s="4" t="s">
        <v>30</v>
      </c>
      <c r="F202" s="4" t="s">
        <v>24</v>
      </c>
      <c r="G202" s="4" t="s">
        <v>110</v>
      </c>
      <c r="H202" s="4" t="s">
        <v>29</v>
      </c>
      <c r="I202" s="16" t="n">
        <f aca="false">SUMIFS('Por Fragrância'!$H$5:$H$192,'Por Fragrância'!$A$5:$A$192,$B202,'Por Fragrância'!$B$5:$B$192,$C202,'Por Fragrância'!$C$5:$C$192,$D202,'Por Fragrância'!$D$5:$D$192,$F202,'Por Fragrância'!$E$5:$E$192,$G202)</f>
        <v>0</v>
      </c>
      <c r="J202" s="16" t="n">
        <f aca="false">SUMIFS('Por Fragrância'!$I$5:$I$192,'Por Fragrância'!$A$5:$A$192,$B202,'Por Fragrância'!$B$5:$B$192,$C202,'Por Fragrância'!$C$5:$C$192,$D202,'Por Fragrância'!$D$5:$D$192,$F202,'Por Fragrância'!$E$5:$E$192,$G202)</f>
        <v>28</v>
      </c>
      <c r="K202" s="18" t="n">
        <f aca="false">IF($B$6=0,0,J202/$B$6)</f>
        <v>3.08786231884058</v>
      </c>
      <c r="L202" s="16" t="n">
        <f aca="false">ROUNDUP(K202*$B$7,0)</f>
        <v>38</v>
      </c>
      <c r="M202" s="17" t="n">
        <f aca="false">I202+L202</f>
        <v>38</v>
      </c>
    </row>
    <row r="203" customFormat="false" ht="15" hidden="false" customHeight="false" outlineLevel="0" collapsed="false">
      <c r="A203" s="4" t="s">
        <v>300</v>
      </c>
      <c r="B203" s="4" t="s">
        <v>37</v>
      </c>
      <c r="C203" s="4" t="s">
        <v>29</v>
      </c>
      <c r="D203" s="4" t="n">
        <v>5000</v>
      </c>
      <c r="E203" s="4" t="s">
        <v>30</v>
      </c>
      <c r="F203" s="4" t="s">
        <v>24</v>
      </c>
      <c r="G203" s="4" t="s">
        <v>110</v>
      </c>
      <c r="H203" s="4" t="s">
        <v>29</v>
      </c>
      <c r="I203" s="16" t="n">
        <f aca="false">SUMIFS('Por Fragrância'!$H$5:$H$192,'Por Fragrância'!$A$5:$A$192,$B203,'Por Fragrância'!$B$5:$B$192,$C203,'Por Fragrância'!$C$5:$C$192,$D203,'Por Fragrância'!$D$5:$D$192,$F203,'Por Fragrância'!$E$5:$E$192,$G203)</f>
        <v>0</v>
      </c>
      <c r="J203" s="16" t="n">
        <f aca="false">SUMIFS('Por Fragrância'!$I$5:$I$192,'Por Fragrância'!$A$5:$A$192,$B203,'Por Fragrância'!$B$5:$B$192,$C203,'Por Fragrância'!$C$5:$C$192,$D203,'Por Fragrância'!$D$5:$D$192,$F203,'Por Fragrância'!$E$5:$E$192,$G203)</f>
        <v>8</v>
      </c>
      <c r="K203" s="18" t="n">
        <f aca="false">IF($B$6=0,0,J203/$B$6)</f>
        <v>0.882246376811594</v>
      </c>
      <c r="L203" s="16" t="n">
        <f aca="false">ROUNDUP(K203*$B$7,0)</f>
        <v>11</v>
      </c>
      <c r="M203" s="17" t="n">
        <f aca="false">I203+L203</f>
        <v>11</v>
      </c>
    </row>
    <row r="204" customFormat="false" ht="15" hidden="false" customHeight="false" outlineLevel="0" collapsed="false">
      <c r="A204" s="4" t="s">
        <v>301</v>
      </c>
      <c r="B204" s="4" t="s">
        <v>44</v>
      </c>
      <c r="C204" s="4" t="s">
        <v>29</v>
      </c>
      <c r="D204" s="4" t="n">
        <v>5000</v>
      </c>
      <c r="E204" s="4" t="s">
        <v>30</v>
      </c>
      <c r="F204" s="4" t="s">
        <v>24</v>
      </c>
      <c r="G204" s="4" t="s">
        <v>110</v>
      </c>
      <c r="H204" s="4" t="s">
        <v>29</v>
      </c>
      <c r="I204" s="16" t="n">
        <f aca="false">SUMIFS('Por Fragrância'!$H$5:$H$192,'Por Fragrância'!$A$5:$A$192,$B204,'Por Fragrância'!$B$5:$B$192,$C204,'Por Fragrância'!$C$5:$C$192,$D204,'Por Fragrância'!$D$5:$D$192,$F204,'Por Fragrância'!$E$5:$E$192,$G204)</f>
        <v>0</v>
      </c>
      <c r="J204" s="16" t="n">
        <f aca="false">SUMIFS('Por Fragrância'!$I$5:$I$192,'Por Fragrância'!$A$5:$A$192,$B204,'Por Fragrância'!$B$5:$B$192,$C204,'Por Fragrância'!$C$5:$C$192,$D204,'Por Fragrância'!$D$5:$D$192,$F204,'Por Fragrância'!$E$5:$E$192,$G204)</f>
        <v>8</v>
      </c>
      <c r="K204" s="18" t="n">
        <f aca="false">IF($B$6=0,0,J204/$B$6)</f>
        <v>0.882246376811594</v>
      </c>
      <c r="L204" s="16" t="n">
        <f aca="false">ROUNDUP(K204*$B$7,0)</f>
        <v>11</v>
      </c>
      <c r="M204" s="17" t="n">
        <f aca="false">I204+L204</f>
        <v>11</v>
      </c>
    </row>
    <row r="205" customFormat="false" ht="15" hidden="false" customHeight="false" outlineLevel="0" collapsed="false">
      <c r="A205" s="4" t="s">
        <v>302</v>
      </c>
      <c r="B205" s="4" t="s">
        <v>54</v>
      </c>
      <c r="C205" s="4" t="s">
        <v>29</v>
      </c>
      <c r="D205" s="4" t="n">
        <v>160</v>
      </c>
      <c r="E205" s="4" t="s">
        <v>30</v>
      </c>
      <c r="F205" s="4" t="s">
        <v>24</v>
      </c>
      <c r="G205" s="4" t="s">
        <v>110</v>
      </c>
      <c r="H205" s="4" t="s">
        <v>29</v>
      </c>
      <c r="I205" s="16" t="n">
        <f aca="false">SUMIFS('Por Fragrância'!$H$5:$H$192,'Por Fragrância'!$A$5:$A$192,$B205,'Por Fragrância'!$B$5:$B$192,$C205,'Por Fragrância'!$C$5:$C$192,$D205,'Por Fragrância'!$D$5:$D$192,$F205,'Por Fragrância'!$E$5:$E$192,$G205)</f>
        <v>0</v>
      </c>
      <c r="J205" s="16" t="n">
        <f aca="false">SUMIFS('Por Fragrância'!$I$5:$I$192,'Por Fragrância'!$A$5:$A$192,$B205,'Por Fragrância'!$B$5:$B$192,$C205,'Por Fragrância'!$C$5:$C$192,$D205,'Por Fragrância'!$D$5:$D$192,$F205,'Por Fragrância'!$E$5:$E$192,$G205)</f>
        <v>3</v>
      </c>
      <c r="K205" s="18" t="n">
        <f aca="false">IF($B$6=0,0,J205/$B$6)</f>
        <v>0.330842391304348</v>
      </c>
      <c r="L205" s="16" t="n">
        <f aca="false">ROUNDUP(K205*$B$7,0)</f>
        <v>4</v>
      </c>
      <c r="M205" s="17" t="n">
        <f aca="false">I205+L205</f>
        <v>4</v>
      </c>
    </row>
    <row r="206" customFormat="false" ht="15" hidden="false" customHeight="false" outlineLevel="0" collapsed="false">
      <c r="A206" s="4" t="s">
        <v>303</v>
      </c>
      <c r="B206" s="4" t="s">
        <v>56</v>
      </c>
      <c r="C206" s="4" t="s">
        <v>29</v>
      </c>
      <c r="D206" s="4" t="n">
        <v>160</v>
      </c>
      <c r="E206" s="4" t="s">
        <v>30</v>
      </c>
      <c r="F206" s="4" t="s">
        <v>24</v>
      </c>
      <c r="G206" s="4" t="s">
        <v>110</v>
      </c>
      <c r="H206" s="4" t="s">
        <v>29</v>
      </c>
      <c r="I206" s="16" t="n">
        <f aca="false">SUMIFS('Por Fragrância'!$H$5:$H$192,'Por Fragrância'!$A$5:$A$192,$B206,'Por Fragrância'!$B$5:$B$192,$C206,'Por Fragrância'!$C$5:$C$192,$D206,'Por Fragrância'!$D$5:$D$192,$F206,'Por Fragrância'!$E$5:$E$192,$G206)</f>
        <v>0</v>
      </c>
      <c r="J206" s="16" t="n">
        <f aca="false">SUMIFS('Por Fragrância'!$I$5:$I$192,'Por Fragrância'!$A$5:$A$192,$B206,'Por Fragrância'!$B$5:$B$192,$C206,'Por Fragrância'!$C$5:$C$192,$D206,'Por Fragrância'!$D$5:$D$192,$F206,'Por Fragrância'!$E$5:$E$192,$G206)</f>
        <v>7</v>
      </c>
      <c r="K206" s="18" t="n">
        <f aca="false">IF($B$6=0,0,J206/$B$6)</f>
        <v>0.771965579710145</v>
      </c>
      <c r="L206" s="16" t="n">
        <f aca="false">ROUNDUP(K206*$B$7,0)</f>
        <v>10</v>
      </c>
      <c r="M206" s="17" t="n">
        <f aca="false">I206+L206</f>
        <v>10</v>
      </c>
    </row>
    <row r="207" customFormat="false" ht="15" hidden="false" customHeight="false" outlineLevel="0" collapsed="false">
      <c r="A207" s="4" t="s">
        <v>304</v>
      </c>
      <c r="B207" s="4" t="s">
        <v>58</v>
      </c>
      <c r="C207" s="4" t="s">
        <v>29</v>
      </c>
      <c r="D207" s="4" t="n">
        <v>160</v>
      </c>
      <c r="E207" s="4" t="s">
        <v>30</v>
      </c>
      <c r="F207" s="4" t="s">
        <v>24</v>
      </c>
      <c r="G207" s="4" t="s">
        <v>110</v>
      </c>
      <c r="H207" s="4" t="s">
        <v>29</v>
      </c>
      <c r="I207" s="16" t="n">
        <f aca="false">SUMIFS('Por Fragrância'!$H$5:$H$192,'Por Fragrância'!$A$5:$A$192,$B207,'Por Fragrância'!$B$5:$B$192,$C207,'Por Fragrância'!$C$5:$C$192,$D207,'Por Fragrância'!$D$5:$D$192,$F207,'Por Fragrância'!$E$5:$E$192,$G207)</f>
        <v>0</v>
      </c>
      <c r="J207" s="16" t="n">
        <f aca="false">SUMIFS('Por Fragrância'!$I$5:$I$192,'Por Fragrância'!$A$5:$A$192,$B207,'Por Fragrância'!$B$5:$B$192,$C207,'Por Fragrância'!$C$5:$C$192,$D207,'Por Fragrância'!$D$5:$D$192,$F207,'Por Fragrância'!$E$5:$E$192,$G207)</f>
        <v>23</v>
      </c>
      <c r="K207" s="18" t="n">
        <f aca="false">IF($B$6=0,0,J207/$B$6)</f>
        <v>2.53645833333333</v>
      </c>
      <c r="L207" s="16" t="n">
        <f aca="false">ROUNDUP(K207*$B$7,0)</f>
        <v>31</v>
      </c>
      <c r="M207" s="17" t="n">
        <f aca="false">I207+L207</f>
        <v>31</v>
      </c>
    </row>
    <row r="208" customFormat="false" ht="15" hidden="false" customHeight="false" outlineLevel="0" collapsed="false">
      <c r="A208" s="4" t="s">
        <v>305</v>
      </c>
      <c r="B208" s="4" t="s">
        <v>74</v>
      </c>
      <c r="C208" s="4" t="s">
        <v>29</v>
      </c>
      <c r="D208" s="4" t="n">
        <v>160</v>
      </c>
      <c r="E208" s="4" t="s">
        <v>30</v>
      </c>
      <c r="F208" s="4" t="s">
        <v>24</v>
      </c>
      <c r="G208" s="4" t="s">
        <v>110</v>
      </c>
      <c r="H208" s="4" t="s">
        <v>29</v>
      </c>
      <c r="I208" s="16" t="n">
        <f aca="false">SUMIFS('Por Fragrância'!$H$5:$H$192,'Por Fragrância'!$A$5:$A$192,$B208,'Por Fragrância'!$B$5:$B$192,$C208,'Por Fragrância'!$C$5:$C$192,$D208,'Por Fragrância'!$D$5:$D$192,$F208,'Por Fragrância'!$E$5:$E$192,$G208)</f>
        <v>0</v>
      </c>
      <c r="J208" s="16" t="n">
        <f aca="false">SUMIFS('Por Fragrância'!$I$5:$I$192,'Por Fragrância'!$A$5:$A$192,$B208,'Por Fragrância'!$B$5:$B$192,$C208,'Por Fragrância'!$C$5:$C$192,$D208,'Por Fragrância'!$D$5:$D$192,$F208,'Por Fragrância'!$E$5:$E$192,$G208)</f>
        <v>9</v>
      </c>
      <c r="K208" s="18" t="n">
        <f aca="false">IF($B$6=0,0,J208/$B$6)</f>
        <v>0.992527173913044</v>
      </c>
      <c r="L208" s="16" t="n">
        <f aca="false">ROUNDUP(K208*$B$7,0)</f>
        <v>12</v>
      </c>
      <c r="M208" s="17" t="n">
        <f aca="false">I208+L208</f>
        <v>12</v>
      </c>
    </row>
    <row r="209" customFormat="false" ht="15" hidden="false" customHeight="false" outlineLevel="0" collapsed="false">
      <c r="A209" s="4" t="s">
        <v>306</v>
      </c>
      <c r="B209" s="4" t="s">
        <v>83</v>
      </c>
      <c r="C209" s="4" t="s">
        <v>29</v>
      </c>
      <c r="D209" s="4" t="n">
        <v>200</v>
      </c>
      <c r="E209" s="4" t="s">
        <v>30</v>
      </c>
      <c r="F209" s="4" t="s">
        <v>24</v>
      </c>
      <c r="G209" s="4" t="s">
        <v>110</v>
      </c>
      <c r="H209" s="4" t="s">
        <v>29</v>
      </c>
      <c r="I209" s="16" t="n">
        <f aca="false">SUMIFS('Por Fragrância'!$H$5:$H$192,'Por Fragrância'!$A$5:$A$192,$B209,'Por Fragrância'!$B$5:$B$192,$C209,'Por Fragrância'!$C$5:$C$192,$D209,'Por Fragrância'!$D$5:$D$192,$F209,'Por Fragrância'!$E$5:$E$192,$G209)</f>
        <v>0</v>
      </c>
      <c r="J209" s="16" t="n">
        <f aca="false">SUMIFS('Por Fragrância'!$I$5:$I$192,'Por Fragrância'!$A$5:$A$192,$B209,'Por Fragrância'!$B$5:$B$192,$C209,'Por Fragrância'!$C$5:$C$192,$D209,'Por Fragrância'!$D$5:$D$192,$F209,'Por Fragrância'!$E$5:$E$192,$G209)</f>
        <v>2</v>
      </c>
      <c r="K209" s="18" t="n">
        <f aca="false">IF($B$6=0,0,J209/$B$6)</f>
        <v>0.220561594202899</v>
      </c>
      <c r="L209" s="16" t="n">
        <f aca="false">ROUNDUP(K209*$B$7,0)</f>
        <v>3</v>
      </c>
      <c r="M209" s="17" t="n">
        <f aca="false">I209+L209</f>
        <v>3</v>
      </c>
    </row>
    <row r="210" customFormat="false" ht="15" hidden="false" customHeight="false" outlineLevel="0" collapsed="false">
      <c r="A210" s="4" t="s">
        <v>307</v>
      </c>
      <c r="B210" s="4" t="s">
        <v>84</v>
      </c>
      <c r="C210" s="4" t="s">
        <v>29</v>
      </c>
      <c r="D210" s="4" t="n">
        <v>160</v>
      </c>
      <c r="E210" s="4" t="s">
        <v>30</v>
      </c>
      <c r="F210" s="4" t="s">
        <v>24</v>
      </c>
      <c r="G210" s="4" t="s">
        <v>110</v>
      </c>
      <c r="H210" s="4" t="s">
        <v>29</v>
      </c>
      <c r="I210" s="16" t="n">
        <f aca="false">SUMIFS('Por Fragrância'!$H$5:$H$192,'Por Fragrância'!$A$5:$A$192,$B210,'Por Fragrância'!$B$5:$B$192,$C210,'Por Fragrância'!$C$5:$C$192,$D210,'Por Fragrância'!$D$5:$D$192,$F210,'Por Fragrância'!$E$5:$E$192,$G210)</f>
        <v>0</v>
      </c>
      <c r="J210" s="16" t="n">
        <f aca="false">SUMIFS('Por Fragrância'!$I$5:$I$192,'Por Fragrância'!$A$5:$A$192,$B210,'Por Fragrância'!$B$5:$B$192,$C210,'Por Fragrância'!$C$5:$C$192,$D210,'Por Fragrância'!$D$5:$D$192,$F210,'Por Fragrância'!$E$5:$E$192,$G210)</f>
        <v>24</v>
      </c>
      <c r="K210" s="18" t="n">
        <f aca="false">IF($B$6=0,0,J210/$B$6)</f>
        <v>2.64673913043478</v>
      </c>
      <c r="L210" s="16" t="n">
        <f aca="false">ROUNDUP(K210*$B$7,0)</f>
        <v>32</v>
      </c>
      <c r="M210" s="17" t="n">
        <f aca="false">I210+L210</f>
        <v>32</v>
      </c>
    </row>
    <row r="212" customFormat="false" ht="15" hidden="false" customHeight="false" outlineLevel="0" collapsed="false">
      <c r="H212" s="9" t="s">
        <v>92</v>
      </c>
      <c r="I212" s="10" t="n">
        <f aca="false">SUBTOTAL(9,I23:I210)</f>
        <v>4436</v>
      </c>
      <c r="J212" s="10" t="n">
        <f aca="false">SUBTOTAL(9,J23:J210)</f>
        <v>3896</v>
      </c>
      <c r="K212" s="10" t="n">
        <f aca="false">SUBTOTAL(9,K23:K210)</f>
        <v>429.653985507246</v>
      </c>
      <c r="L212" s="10" t="n">
        <f aca="false">SUBTOTAL(9,L23:L210)</f>
        <v>5204</v>
      </c>
      <c r="M212" s="10" t="n">
        <f aca="false">SUBTOTAL(9,M23:M210)</f>
        <v>9640</v>
      </c>
    </row>
    <row r="213" customFormat="false" ht="15" hidden="false" customHeight="false" outlineLevel="0" collapsed="false">
      <c r="A213" s="2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43.5" hidden="false" customHeight="true" outlineLevel="0" collapsed="false">
      <c r="A4" s="3" t="s">
        <v>311</v>
      </c>
      <c r="B4" s="3" t="s">
        <v>10</v>
      </c>
      <c r="C4" s="3" t="s">
        <v>114</v>
      </c>
      <c r="D4" s="3" t="s">
        <v>312</v>
      </c>
      <c r="E4" s="3" t="s">
        <v>313</v>
      </c>
      <c r="F4" s="3" t="s">
        <v>314</v>
      </c>
      <c r="G4" s="3" t="s">
        <v>315</v>
      </c>
      <c r="H4" s="3" t="s">
        <v>316</v>
      </c>
      <c r="I4" s="3" t="s">
        <v>317</v>
      </c>
    </row>
    <row r="5" customFormat="false" ht="15" hidden="false" customHeight="false" outlineLevel="0" collapsed="false">
      <c r="A5" s="16" t="s">
        <v>16</v>
      </c>
      <c r="B5" s="16" t="s">
        <v>21</v>
      </c>
      <c r="C5" s="16" t="s">
        <v>15</v>
      </c>
      <c r="D5" s="17" t="n">
        <f aca="false">COUNTIFS('Por Fragrância'!$D$5:$D$192,$A5,'Por Fragrância'!$E$5:$E$192,$B5,'Por Fragrância'!$G$5:$G$192,$C5)</f>
        <v>17</v>
      </c>
      <c r="E5" s="16" t="n">
        <f aca="false">SUMIFS('Por Fragrância'!$J$5:$J$192,'Por Fragrância'!$D$5:$D$192,$A5,'Por Fragrância'!$E$5:$E$192,$B5,'Por Fragrância'!$G$5:$G$192,$C5)</f>
        <v>472</v>
      </c>
      <c r="F5" s="16" t="n">
        <f aca="false">_xlfn.MINIFS('Por Fragrância'!$J$5:$J$192,'Por Fragrância'!$D$5:$D$192,$A5,'Por Fragrância'!$E$5:$E$192,$B5,'Por Fragrância'!$G$5:$G$192,$C5)</f>
        <v>16</v>
      </c>
      <c r="G5" s="16" t="n">
        <f aca="false">_xlfn.MAXIFS('Por Fragrância'!$J$5:$J$192,'Por Fragrância'!$D$5:$D$192,$A5,'Por Fragrância'!$E$5:$E$192,$B5,'Por Fragrância'!$G$5:$G$192,$C5)</f>
        <v>36</v>
      </c>
      <c r="H5" s="19" t="n">
        <f aca="false">IF(D5=0,0,E5/D5)</f>
        <v>27.7647058823529</v>
      </c>
      <c r="I5" s="16" t="n">
        <f aca="false">COUNTIFS(Rótulos!$H$5:$H$212,$A5,Rótulos!$I$5:$I$212,$B5,Rótulos!$F$5:$F$212,IF($C5="B2B e B2C","~",$C5))</f>
        <v>34</v>
      </c>
    </row>
    <row r="6" customFormat="false" ht="15" hidden="false" customHeight="false" outlineLevel="0" collapsed="false">
      <c r="A6" s="16" t="s">
        <v>16</v>
      </c>
      <c r="B6" s="16" t="s">
        <v>17</v>
      </c>
      <c r="C6" s="16" t="s">
        <v>15</v>
      </c>
      <c r="D6" s="17" t="n">
        <f aca="false">COUNTIFS('Por Fragrância'!$D$5:$D$192,$A6,'Por Fragrância'!$E$5:$E$192,$B6,'Por Fragrância'!$G$5:$G$192,$C6)</f>
        <v>24</v>
      </c>
      <c r="E6" s="16" t="n">
        <f aca="false">SUMIFS('Por Fragrância'!$J$5:$J$192,'Por Fragrância'!$D$5:$D$192,$A6,'Por Fragrância'!$E$5:$E$192,$B6,'Por Fragrância'!$G$5:$G$192,$C6)</f>
        <v>3400</v>
      </c>
      <c r="F6" s="16" t="n">
        <f aca="false">_xlfn.MINIFS('Por Fragrância'!$J$5:$J$192,'Por Fragrância'!$D$5:$D$192,$A6,'Por Fragrância'!$E$5:$E$192,$B6,'Por Fragrância'!$G$5:$G$192,$C6)</f>
        <v>100</v>
      </c>
      <c r="G6" s="16" t="n">
        <f aca="false">_xlfn.MAXIFS('Por Fragrância'!$J$5:$J$192,'Por Fragrância'!$D$5:$D$192,$A6,'Por Fragrância'!$E$5:$E$192,$B6,'Por Fragrância'!$G$5:$G$192,$C6)</f>
        <v>200</v>
      </c>
      <c r="H6" s="19" t="n">
        <f aca="false">IF(D6=0,0,E6/D6)</f>
        <v>141.666666666667</v>
      </c>
      <c r="I6" s="16" t="n">
        <f aca="false">COUNTIFS(Rótulos!$H$5:$H$212,$A6,Rótulos!$I$5:$I$212,$B6,Rótulos!$F$5:$F$212,IF($C6="B2B e B2C","~",$C6))</f>
        <v>24</v>
      </c>
    </row>
    <row r="7" customFormat="false" ht="15" hidden="false" customHeight="false" outlineLevel="0" collapsed="false">
      <c r="A7" s="16" t="s">
        <v>24</v>
      </c>
      <c r="B7" s="16" t="s">
        <v>34</v>
      </c>
      <c r="C7" s="16" t="s">
        <v>30</v>
      </c>
      <c r="D7" s="17" t="n">
        <f aca="false">COUNTIFS('Por Fragrância'!$D$5:$D$192,$A7,'Por Fragrância'!$E$5:$E$192,$B7,'Por Fragrância'!$G$5:$G$192,$C7)</f>
        <v>23</v>
      </c>
      <c r="E7" s="16" t="n">
        <f aca="false">SUMIFS('Por Fragrância'!$J$5:$J$192,'Por Fragrância'!$D$5:$D$192,$A7,'Por Fragrância'!$E$5:$E$192,$B7,'Por Fragrância'!$G$5:$G$192,$C7)</f>
        <v>1307</v>
      </c>
      <c r="F7" s="16" t="n">
        <f aca="false">_xlfn.MINIFS('Por Fragrância'!$J$5:$J$192,'Por Fragrância'!$D$5:$D$192,$A7,'Por Fragrância'!$E$5:$E$192,$B7,'Por Fragrância'!$G$5:$G$192,$C7)</f>
        <v>2</v>
      </c>
      <c r="G7" s="16" t="n">
        <f aca="false">_xlfn.MAXIFS('Por Fragrância'!$J$5:$J$192,'Por Fragrância'!$D$5:$D$192,$A7,'Por Fragrância'!$E$5:$E$192,$B7,'Por Fragrância'!$G$5:$G$192,$C7)</f>
        <v>649</v>
      </c>
      <c r="H7" s="19" t="n">
        <f aca="false">IF(D7=0,0,E7/D7)</f>
        <v>56.8260869565217</v>
      </c>
      <c r="I7" s="16" t="n">
        <f aca="false">COUNTIFS(Rótulos!$H$5:$H$212,$A7,Rótulos!$I$5:$I$212,$B7,Rótulos!$F$5:$F$212,IF($C7="B2B e B2C","~",$C7))</f>
        <v>23</v>
      </c>
    </row>
    <row r="8" customFormat="false" ht="15" hidden="false" customHeight="false" outlineLevel="0" collapsed="false">
      <c r="A8" s="16" t="s">
        <v>24</v>
      </c>
      <c r="B8" s="16" t="s">
        <v>34</v>
      </c>
      <c r="C8" s="16" t="s">
        <v>15</v>
      </c>
      <c r="D8" s="17" t="n">
        <f aca="false">COUNTIFS('Por Fragrância'!$D$5:$D$192,$A8,'Por Fragrância'!$E$5:$E$192,$B8,'Por Fragrância'!$G$5:$G$192,$C8)</f>
        <v>8</v>
      </c>
      <c r="E8" s="16" t="n">
        <f aca="false">SUMIFS('Por Fragrância'!$J$5:$J$192,'Por Fragrância'!$D$5:$D$192,$A8,'Por Fragrância'!$E$5:$E$192,$B8,'Por Fragrância'!$G$5:$G$192,$C8)</f>
        <v>360</v>
      </c>
      <c r="F8" s="16" t="n">
        <f aca="false">_xlfn.MINIFS('Por Fragrância'!$J$5:$J$192,'Por Fragrância'!$D$5:$D$192,$A8,'Por Fragrância'!$E$5:$E$192,$B8,'Por Fragrância'!$G$5:$G$192,$C8)</f>
        <v>30</v>
      </c>
      <c r="G8" s="16" t="n">
        <f aca="false">_xlfn.MAXIFS('Por Fragrância'!$J$5:$J$192,'Por Fragrância'!$D$5:$D$192,$A8,'Por Fragrância'!$E$5:$E$192,$B8,'Por Fragrância'!$G$5:$G$192,$C8)</f>
        <v>150</v>
      </c>
      <c r="H8" s="19" t="n">
        <f aca="false">IF(D8=0,0,E8/D8)</f>
        <v>45</v>
      </c>
      <c r="I8" s="16" t="n">
        <f aca="false">COUNTIFS(Rótulos!$H$5:$H$212,$A8,Rótulos!$I$5:$I$212,$B8,Rótulos!$F$5:$F$212,IF($C8="B2B e B2C","~",$C8))</f>
        <v>8</v>
      </c>
    </row>
    <row r="9" customFormat="false" ht="15" hidden="false" customHeight="false" outlineLevel="0" collapsed="false">
      <c r="A9" s="16" t="s">
        <v>24</v>
      </c>
      <c r="B9" s="16" t="s">
        <v>25</v>
      </c>
      <c r="C9" s="16" t="s">
        <v>30</v>
      </c>
      <c r="D9" s="17" t="n">
        <f aca="false">COUNTIFS('Por Fragrância'!$D$5:$D$192,$A9,'Por Fragrância'!$E$5:$E$192,$B9,'Por Fragrância'!$G$5:$G$192,$C9)</f>
        <v>11</v>
      </c>
      <c r="E9" s="16" t="n">
        <f aca="false">SUMIFS('Por Fragrância'!$J$5:$J$192,'Por Fragrância'!$D$5:$D$192,$A9,'Por Fragrância'!$E$5:$E$192,$B9,'Por Fragrância'!$G$5:$G$192,$C9)</f>
        <v>481</v>
      </c>
      <c r="F9" s="16" t="n">
        <f aca="false">_xlfn.MINIFS('Por Fragrância'!$J$5:$J$192,'Por Fragrância'!$D$5:$D$192,$A9,'Por Fragrância'!$E$5:$E$192,$B9,'Por Fragrância'!$G$5:$G$192,$C9)</f>
        <v>4</v>
      </c>
      <c r="G9" s="16" t="n">
        <f aca="false">_xlfn.MAXIFS('Por Fragrância'!$J$5:$J$192,'Por Fragrância'!$D$5:$D$192,$A9,'Por Fragrância'!$E$5:$E$192,$B9,'Por Fragrância'!$G$5:$G$192,$C9)</f>
        <v>205</v>
      </c>
      <c r="H9" s="19" t="n">
        <f aca="false">IF(D9=0,0,E9/D9)</f>
        <v>43.7272727272727</v>
      </c>
      <c r="I9" s="16" t="n">
        <f aca="false">COUNTIFS(Rótulos!$H$5:$H$212,$A9,Rótulos!$I$5:$I$212,$B9,Rótulos!$F$5:$F$212,IF($C9="B2B e B2C","~",$C9))</f>
        <v>13</v>
      </c>
    </row>
    <row r="10" customFormat="false" ht="15" hidden="false" customHeight="false" outlineLevel="0" collapsed="false">
      <c r="A10" s="16" t="s">
        <v>24</v>
      </c>
      <c r="B10" s="16" t="s">
        <v>25</v>
      </c>
      <c r="C10" s="16" t="s">
        <v>192</v>
      </c>
      <c r="D10" s="17" t="n">
        <f aca="false">COUNTIFS('Por Fragrância'!$D$5:$D$192,$A10,'Por Fragrância'!$E$5:$E$192,$B10,'Por Fragrância'!$G$5:$G$192,$C10)</f>
        <v>2</v>
      </c>
      <c r="E10" s="16" t="n">
        <f aca="false">SUMIFS('Por Fragrância'!$J$5:$J$192,'Por Fragrância'!$D$5:$D$192,$A10,'Por Fragrância'!$E$5:$E$192,$B10,'Por Fragrância'!$G$5:$G$192,$C10)</f>
        <v>120</v>
      </c>
      <c r="F10" s="16" t="n">
        <f aca="false">_xlfn.MINIFS('Por Fragrância'!$J$5:$J$192,'Por Fragrância'!$D$5:$D$192,$A10,'Por Fragrância'!$E$5:$E$192,$B10,'Por Fragrância'!$G$5:$G$192,$C10)</f>
        <v>38</v>
      </c>
      <c r="G10" s="16" t="n">
        <f aca="false">_xlfn.MAXIFS('Por Fragrância'!$J$5:$J$192,'Por Fragrância'!$D$5:$D$192,$A10,'Por Fragrância'!$E$5:$E$192,$B10,'Por Fragrância'!$G$5:$G$192,$C10)</f>
        <v>82</v>
      </c>
      <c r="H10" s="19" t="n">
        <f aca="false">IF(D10=0,0,E10/D10)</f>
        <v>60</v>
      </c>
      <c r="I10" s="16" t="n">
        <f aca="false">COUNTIFS(Rótulos!$H$5:$H$212,$A10,Rótulos!$I$5:$I$212,$B10,Rótulos!$F$5:$F$212,IF($C10="B2B e B2C","~",$C10))</f>
        <v>0</v>
      </c>
    </row>
    <row r="11" customFormat="false" ht="15" hidden="false" customHeight="false" outlineLevel="0" collapsed="false">
      <c r="A11" s="16" t="s">
        <v>24</v>
      </c>
      <c r="B11" s="16" t="s">
        <v>25</v>
      </c>
      <c r="C11" s="16" t="s">
        <v>15</v>
      </c>
      <c r="D11" s="17" t="n">
        <f aca="false">COUNTIFS('Por Fragrância'!$D$5:$D$192,$A11,'Por Fragrância'!$E$5:$E$192,$B11,'Por Fragrância'!$G$5:$G$192,$C11)</f>
        <v>15</v>
      </c>
      <c r="E11" s="16" t="n">
        <f aca="false">SUMIFS('Por Fragrância'!$J$5:$J$192,'Por Fragrância'!$D$5:$D$192,$A11,'Por Fragrância'!$E$5:$E$192,$B11,'Por Fragrância'!$G$5:$G$192,$C11)</f>
        <v>130</v>
      </c>
      <c r="F11" s="16" t="n">
        <f aca="false">_xlfn.MINIFS('Por Fragrância'!$J$5:$J$192,'Por Fragrância'!$D$5:$D$192,$A11,'Por Fragrância'!$E$5:$E$192,$B11,'Por Fragrância'!$G$5:$G$192,$C11)</f>
        <v>2</v>
      </c>
      <c r="G11" s="16" t="n">
        <f aca="false">_xlfn.MAXIFS('Por Fragrância'!$J$5:$J$192,'Por Fragrância'!$D$5:$D$192,$A11,'Por Fragrância'!$E$5:$E$192,$B11,'Por Fragrância'!$G$5:$G$192,$C11)</f>
        <v>12</v>
      </c>
      <c r="H11" s="19" t="n">
        <f aca="false">IF(D11=0,0,E11/D11)</f>
        <v>8.66666666666667</v>
      </c>
      <c r="I11" s="16" t="n">
        <f aca="false">COUNTIFS(Rótulos!$H$5:$H$212,$A11,Rótulos!$I$5:$I$212,$B11,Rótulos!$F$5:$F$212,IF($C11="B2B e B2C","~",$C11))</f>
        <v>17</v>
      </c>
    </row>
    <row r="12" customFormat="false" ht="15" hidden="false" customHeight="false" outlineLevel="0" collapsed="false">
      <c r="A12" s="16" t="s">
        <v>24</v>
      </c>
      <c r="B12" s="16" t="s">
        <v>31</v>
      </c>
      <c r="C12" s="16" t="s">
        <v>30</v>
      </c>
      <c r="D12" s="17" t="n">
        <f aca="false">COUNTIFS('Por Fragrância'!$D$5:$D$192,$A12,'Por Fragrância'!$E$5:$E$192,$B12,'Por Fragrância'!$G$5:$G$192,$C12)</f>
        <v>53</v>
      </c>
      <c r="E12" s="16" t="n">
        <f aca="false">SUMIFS('Por Fragrância'!$J$5:$J$192,'Por Fragrância'!$D$5:$D$192,$A12,'Por Fragrância'!$E$5:$E$192,$B12,'Por Fragrância'!$G$5:$G$192,$C12)</f>
        <v>1614</v>
      </c>
      <c r="F12" s="16" t="n">
        <f aca="false">_xlfn.MINIFS('Por Fragrância'!$J$5:$J$192,'Por Fragrância'!$D$5:$D$192,$A12,'Por Fragrância'!$E$5:$E$192,$B12,'Por Fragrância'!$G$5:$G$192,$C12)</f>
        <v>1</v>
      </c>
      <c r="G12" s="16" t="n">
        <f aca="false">_xlfn.MAXIFS('Por Fragrância'!$J$5:$J$192,'Por Fragrância'!$D$5:$D$192,$A12,'Por Fragrância'!$E$5:$E$192,$B12,'Por Fragrância'!$G$5:$G$192,$C12)</f>
        <v>379</v>
      </c>
      <c r="H12" s="19" t="n">
        <f aca="false">IF(D12=0,0,E12/D12)</f>
        <v>30.4528301886792</v>
      </c>
      <c r="I12" s="16" t="n">
        <f aca="false">COUNTIFS(Rótulos!$H$5:$H$212,$A12,Rótulos!$I$5:$I$212,$B12,Rótulos!$F$5:$F$212,IF($C12="B2B e B2C","~",$C12))</f>
        <v>54</v>
      </c>
    </row>
    <row r="13" customFormat="false" ht="15" hidden="false" customHeight="false" outlineLevel="0" collapsed="false">
      <c r="A13" s="16" t="s">
        <v>24</v>
      </c>
      <c r="B13" s="16" t="s">
        <v>31</v>
      </c>
      <c r="C13" s="16" t="s">
        <v>192</v>
      </c>
      <c r="D13" s="17" t="n">
        <f aca="false">COUNTIFS('Por Fragrância'!$D$5:$D$192,$A13,'Por Fragrância'!$E$5:$E$192,$B13,'Por Fragrância'!$G$5:$G$192,$C13)</f>
        <v>1</v>
      </c>
      <c r="E13" s="16" t="n">
        <f aca="false">SUMIFS('Por Fragrância'!$J$5:$J$192,'Por Fragrância'!$D$5:$D$192,$A13,'Por Fragrância'!$E$5:$E$192,$B13,'Por Fragrância'!$G$5:$G$192,$C13)</f>
        <v>50</v>
      </c>
      <c r="F13" s="16" t="n">
        <f aca="false">_xlfn.MINIFS('Por Fragrância'!$J$5:$J$192,'Por Fragrância'!$D$5:$D$192,$A13,'Por Fragrância'!$E$5:$E$192,$B13,'Por Fragrância'!$G$5:$G$192,$C13)</f>
        <v>50</v>
      </c>
      <c r="G13" s="16" t="n">
        <f aca="false">_xlfn.MAXIFS('Por Fragrância'!$J$5:$J$192,'Por Fragrância'!$D$5:$D$192,$A13,'Por Fragrância'!$E$5:$E$192,$B13,'Por Fragrância'!$G$5:$G$192,$C13)</f>
        <v>50</v>
      </c>
      <c r="H13" s="19" t="n">
        <f aca="false">IF(D13=0,0,E13/D13)</f>
        <v>50</v>
      </c>
      <c r="I13" s="16" t="n">
        <f aca="false">COUNTIFS(Rótulos!$H$5:$H$212,$A13,Rótulos!$I$5:$I$212,$B13,Rótulos!$F$5:$F$212,IF($C13="B2B e B2C","~",$C13))</f>
        <v>0</v>
      </c>
    </row>
    <row r="14" customFormat="false" ht="15" hidden="false" customHeight="false" outlineLevel="0" collapsed="false">
      <c r="A14" s="16" t="s">
        <v>24</v>
      </c>
      <c r="B14" s="16" t="s">
        <v>31</v>
      </c>
      <c r="C14" s="16" t="s">
        <v>15</v>
      </c>
      <c r="D14" s="17" t="n">
        <f aca="false">COUNTIFS('Por Fragrância'!$D$5:$D$192,$A14,'Por Fragrância'!$E$5:$E$192,$B14,'Por Fragrância'!$G$5:$G$192,$C14)</f>
        <v>6</v>
      </c>
      <c r="E14" s="16" t="n">
        <f aca="false">SUMIFS('Por Fragrância'!$J$5:$J$192,'Por Fragrância'!$D$5:$D$192,$A14,'Por Fragrância'!$E$5:$E$192,$B14,'Por Fragrância'!$G$5:$G$192,$C14)</f>
        <v>60</v>
      </c>
      <c r="F14" s="16" t="n">
        <f aca="false">_xlfn.MINIFS('Por Fragrância'!$J$5:$J$192,'Por Fragrância'!$D$5:$D$192,$A14,'Por Fragrância'!$E$5:$E$192,$B14,'Por Fragrância'!$G$5:$G$192,$C14)</f>
        <v>10</v>
      </c>
      <c r="G14" s="16" t="n">
        <f aca="false">_xlfn.MAXIFS('Por Fragrância'!$J$5:$J$192,'Por Fragrância'!$D$5:$D$192,$A14,'Por Fragrância'!$E$5:$E$192,$B14,'Por Fragrância'!$G$5:$G$192,$C14)</f>
        <v>10</v>
      </c>
      <c r="H14" s="19" t="n">
        <f aca="false">IF(D14=0,0,E14/D14)</f>
        <v>10</v>
      </c>
      <c r="I14" s="16" t="n">
        <f aca="false">COUNTIFS(Rótulos!$H$5:$H$212,$A14,Rótulos!$I$5:$I$212,$B14,Rótulos!$F$5:$F$212,IF($C14="B2B e B2C","~",$C14))</f>
        <v>7</v>
      </c>
    </row>
    <row r="15" customFormat="false" ht="15" hidden="false" customHeight="false" outlineLevel="0" collapsed="false">
      <c r="A15" s="16" t="s">
        <v>24</v>
      </c>
      <c r="B15" s="16" t="s">
        <v>32</v>
      </c>
      <c r="C15" s="16" t="s">
        <v>30</v>
      </c>
      <c r="D15" s="17" t="n">
        <f aca="false">COUNTIFS('Por Fragrância'!$D$5:$D$192,$A15,'Por Fragrância'!$E$5:$E$192,$B15,'Por Fragrância'!$G$5:$G$192,$C15)</f>
        <v>18</v>
      </c>
      <c r="E15" s="16" t="n">
        <f aca="false">SUMIFS('Por Fragrância'!$J$5:$J$192,'Por Fragrância'!$D$5:$D$192,$A15,'Por Fragrância'!$E$5:$E$192,$B15,'Por Fragrância'!$G$5:$G$192,$C15)</f>
        <v>197</v>
      </c>
      <c r="F15" s="16" t="n">
        <f aca="false">_xlfn.MINIFS('Por Fragrância'!$J$5:$J$192,'Por Fragrância'!$D$5:$D$192,$A15,'Por Fragrância'!$E$5:$E$192,$B15,'Por Fragrância'!$G$5:$G$192,$C15)</f>
        <v>2</v>
      </c>
      <c r="G15" s="16" t="n">
        <f aca="false">_xlfn.MAXIFS('Por Fragrância'!$J$5:$J$192,'Por Fragrância'!$D$5:$D$192,$A15,'Por Fragrância'!$E$5:$E$192,$B15,'Por Fragrância'!$G$5:$G$192,$C15)</f>
        <v>22</v>
      </c>
      <c r="H15" s="19" t="n">
        <f aca="false">IF(D15=0,0,E15/D15)</f>
        <v>10.9444444444444</v>
      </c>
      <c r="I15" s="16" t="n">
        <f aca="false">COUNTIFS(Rótulos!$H$5:$H$212,$A15,Rótulos!$I$5:$I$212,$B15,Rótulos!$F$5:$F$212,IF($C15="B2B e B2C","~",$C15))</f>
        <v>18</v>
      </c>
    </row>
    <row r="16" customFormat="false" ht="15" hidden="false" customHeight="false" outlineLevel="0" collapsed="false">
      <c r="A16" s="16" t="s">
        <v>24</v>
      </c>
      <c r="B16" s="16" t="s">
        <v>110</v>
      </c>
      <c r="C16" s="16" t="s">
        <v>30</v>
      </c>
      <c r="D16" s="17" t="n">
        <f aca="false">COUNTIFS('Por Fragrância'!$D$5:$D$192,$A16,'Por Fragrância'!$E$5:$E$192,$B16,'Por Fragrância'!$G$5:$G$192,$C16)</f>
        <v>10</v>
      </c>
      <c r="E16" s="16" t="n">
        <f aca="false">SUMIFS('Por Fragrância'!$J$5:$J$192,'Por Fragrância'!$D$5:$D$192,$A16,'Por Fragrância'!$E$5:$E$192,$B16,'Por Fragrância'!$G$5:$G$192,$C16)</f>
        <v>141</v>
      </c>
      <c r="F16" s="16" t="n">
        <f aca="false">_xlfn.MINIFS('Por Fragrância'!$J$5:$J$192,'Por Fragrância'!$D$5:$D$192,$A16,'Por Fragrância'!$E$5:$E$192,$B16,'Por Fragrância'!$G$5:$G$192,$C16)</f>
        <v>2</v>
      </c>
      <c r="G16" s="16" t="n">
        <f aca="false">_xlfn.MAXIFS('Por Fragrância'!$J$5:$J$192,'Por Fragrância'!$D$5:$D$192,$A16,'Por Fragrância'!$E$5:$E$192,$B16,'Por Fragrância'!$G$5:$G$192,$C16)</f>
        <v>29</v>
      </c>
      <c r="H16" s="19" t="n">
        <f aca="false">IF(D16=0,0,E16/D16)</f>
        <v>14.1</v>
      </c>
      <c r="I16" s="16" t="n">
        <f aca="false">SUMPRODUCT((Rótulos!$H$5:$H$212=$A16)*(Rótulos!$I$5:$I$212="")*(Rótulos!$F$5:$F$212=IF($C16="B2B e B2C","~",$C16)))</f>
        <v>10</v>
      </c>
    </row>
    <row r="17" customFormat="false" ht="15" hidden="false" customHeight="false" outlineLevel="0" collapsed="false">
      <c r="A17" s="17" t="s">
        <v>111</v>
      </c>
      <c r="B17" s="17"/>
      <c r="C17" s="17"/>
      <c r="D17" s="17" t="n">
        <f aca="false">SUM(D5:D16)</f>
        <v>188</v>
      </c>
      <c r="E17" s="17" t="n">
        <f aca="false">SUM(E5:E16)</f>
        <v>8332</v>
      </c>
      <c r="F17" s="17"/>
      <c r="G17" s="17"/>
      <c r="H17" s="20"/>
      <c r="I17" s="17" t="n">
        <f aca="false">COUNTA(Rótulos!$A$5:$A$212)</f>
        <v>208</v>
      </c>
    </row>
    <row r="19" customFormat="false" ht="15" hidden="false" customHeight="false" outlineLevel="0" collapsed="false">
      <c r="A19" s="9" t="s">
        <v>318</v>
      </c>
    </row>
    <row r="20" customFormat="false" ht="30" hidden="false" customHeight="true" outlineLevel="0" collapsed="false">
      <c r="A20" s="3" t="s">
        <v>311</v>
      </c>
      <c r="B20" s="3" t="s">
        <v>10</v>
      </c>
      <c r="C20" s="3" t="s">
        <v>312</v>
      </c>
      <c r="D20" s="3" t="s">
        <v>313</v>
      </c>
    </row>
    <row r="21" customFormat="false" ht="15" hidden="false" customHeight="false" outlineLevel="0" collapsed="false">
      <c r="A21" s="21" t="s">
        <v>16</v>
      </c>
      <c r="B21" s="21" t="s">
        <v>21</v>
      </c>
      <c r="C21" s="22" t="n">
        <f aca="false">COUNTIFS('Por Fragrância'!$D$5:$D$192,$A21,'Por Fragrância'!$E$5:$E$192,$B21)</f>
        <v>17</v>
      </c>
      <c r="D21" s="21" t="n">
        <f aca="false">SUMIFS('Por Fragrância'!$J$5:$J$192,'Por Fragrância'!$D$5:$D$192,$A21,'Por Fragrância'!$E$5:$E$192,$B21)</f>
        <v>472</v>
      </c>
    </row>
    <row r="22" customFormat="false" ht="15" hidden="false" customHeight="false" outlineLevel="0" collapsed="false">
      <c r="A22" s="21" t="s">
        <v>16</v>
      </c>
      <c r="B22" s="21" t="s">
        <v>17</v>
      </c>
      <c r="C22" s="22" t="n">
        <f aca="false">COUNTIFS('Por Fragrância'!$D$5:$D$192,$A22,'Por Fragrância'!$E$5:$E$192,$B22)</f>
        <v>24</v>
      </c>
      <c r="D22" s="21" t="n">
        <f aca="false">SUMIFS('Por Fragrância'!$J$5:$J$192,'Por Fragrância'!$D$5:$D$192,$A22,'Por Fragrância'!$E$5:$E$192,$B22)</f>
        <v>3400</v>
      </c>
    </row>
    <row r="23" customFormat="false" ht="15" hidden="false" customHeight="false" outlineLevel="0" collapsed="false">
      <c r="A23" s="21" t="s">
        <v>24</v>
      </c>
      <c r="B23" s="21" t="s">
        <v>34</v>
      </c>
      <c r="C23" s="22" t="n">
        <f aca="false">COUNTIFS('Por Fragrância'!$D$5:$D$192,$A23,'Por Fragrância'!$E$5:$E$192,$B23)</f>
        <v>31</v>
      </c>
      <c r="D23" s="21" t="n">
        <f aca="false">SUMIFS('Por Fragrância'!$J$5:$J$192,'Por Fragrância'!$D$5:$D$192,$A23,'Por Fragrância'!$E$5:$E$192,$B23)</f>
        <v>1667</v>
      </c>
    </row>
    <row r="24" customFormat="false" ht="15" hidden="false" customHeight="false" outlineLevel="0" collapsed="false">
      <c r="A24" s="21" t="s">
        <v>24</v>
      </c>
      <c r="B24" s="21" t="s">
        <v>25</v>
      </c>
      <c r="C24" s="22" t="n">
        <f aca="false">COUNTIFS('Por Fragrância'!$D$5:$D$192,$A24,'Por Fragrância'!$E$5:$E$192,$B24)</f>
        <v>28</v>
      </c>
      <c r="D24" s="21" t="n">
        <f aca="false">SUMIFS('Por Fragrância'!$J$5:$J$192,'Por Fragrância'!$D$5:$D$192,$A24,'Por Fragrância'!$E$5:$E$192,$B24)</f>
        <v>731</v>
      </c>
    </row>
    <row r="25" customFormat="false" ht="15" hidden="false" customHeight="false" outlineLevel="0" collapsed="false">
      <c r="A25" s="21" t="s">
        <v>24</v>
      </c>
      <c r="B25" s="21" t="s">
        <v>31</v>
      </c>
      <c r="C25" s="22" t="n">
        <f aca="false">COUNTIFS('Por Fragrância'!$D$5:$D$192,$A25,'Por Fragrância'!$E$5:$E$192,$B25)</f>
        <v>60</v>
      </c>
      <c r="D25" s="21" t="n">
        <f aca="false">SUMIFS('Por Fragrância'!$J$5:$J$192,'Por Fragrância'!$D$5:$D$192,$A25,'Por Fragrância'!$E$5:$E$192,$B25)</f>
        <v>1724</v>
      </c>
    </row>
    <row r="26" customFormat="false" ht="15" hidden="false" customHeight="false" outlineLevel="0" collapsed="false">
      <c r="A26" s="21" t="s">
        <v>24</v>
      </c>
      <c r="B26" s="21" t="s">
        <v>32</v>
      </c>
      <c r="C26" s="22" t="n">
        <f aca="false">COUNTIFS('Por Fragrância'!$D$5:$D$192,$A26,'Por Fragrância'!$E$5:$E$192,$B26)</f>
        <v>18</v>
      </c>
      <c r="D26" s="21" t="n">
        <f aca="false">SUMIFS('Por Fragrância'!$J$5:$J$192,'Por Fragrância'!$D$5:$D$192,$A26,'Por Fragrância'!$E$5:$E$192,$B26)</f>
        <v>197</v>
      </c>
    </row>
    <row r="27" customFormat="false" ht="15" hidden="false" customHeight="false" outlineLevel="0" collapsed="false">
      <c r="A27" s="21" t="s">
        <v>24</v>
      </c>
      <c r="B27" s="21" t="s">
        <v>110</v>
      </c>
      <c r="C27" s="22" t="n">
        <f aca="false">COUNTIFS('Por Fragrância'!$D$5:$D$192,$A27,'Por Fragrância'!$E$5:$E$192,$B27)</f>
        <v>10</v>
      </c>
      <c r="D27" s="21" t="n">
        <f aca="false">SUMIFS('Por Fragrância'!$J$5:$J$192,'Por Fragrância'!$D$5:$D$192,$A27,'Por Fragrância'!$E$5:$E$192,$B27)</f>
        <v>141</v>
      </c>
    </row>
    <row r="28" customFormat="false" ht="15" hidden="false" customHeight="false" outlineLevel="0" collapsed="false">
      <c r="A28" s="22" t="s">
        <v>111</v>
      </c>
      <c r="B28" s="22"/>
      <c r="C28" s="22" t="n">
        <f aca="false">SUM(C21:C27)</f>
        <v>188</v>
      </c>
      <c r="D28" s="22" t="n">
        <f aca="false">SUM(D21:D27)</f>
        <v>8332</v>
      </c>
    </row>
    <row r="30" customFormat="false" ht="15" hidden="false" customHeight="false" outlineLevel="0" collapsed="false">
      <c r="A30" s="2" t="s">
        <v>319</v>
      </c>
    </row>
    <row r="31" customFormat="false" ht="15" hidden="false" customHeight="false" outlineLevel="0" collapsed="false">
      <c r="A31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322</v>
      </c>
    </row>
    <row r="4" customFormat="false" ht="48" hidden="false" customHeight="true" outlineLevel="0" collapsed="false">
      <c r="A4" s="3" t="s">
        <v>2</v>
      </c>
      <c r="B4" s="3" t="s">
        <v>114</v>
      </c>
      <c r="C4" s="3" t="s">
        <v>323</v>
      </c>
      <c r="D4" s="3" t="s">
        <v>324</v>
      </c>
      <c r="E4" s="3" t="s">
        <v>325</v>
      </c>
      <c r="F4" s="3" t="s">
        <v>326</v>
      </c>
      <c r="G4" s="3" t="s">
        <v>327</v>
      </c>
      <c r="H4" s="3" t="s">
        <v>328</v>
      </c>
      <c r="I4" s="3" t="s">
        <v>329</v>
      </c>
      <c r="J4" s="3" t="s">
        <v>330</v>
      </c>
      <c r="K4" s="3" t="s">
        <v>313</v>
      </c>
    </row>
    <row r="5" customFormat="false" ht="15" hidden="false" customHeight="false" outlineLevel="0" collapsed="false">
      <c r="A5" s="16" t="s">
        <v>11</v>
      </c>
      <c r="B5" s="16" t="s">
        <v>15</v>
      </c>
      <c r="C5" s="23" t="n">
        <f aca="false">COUNTIFS('Por Fragrância'!$A$5:$A$192,$A5,'Por Fragrância'!$D$5:$D$192,"Transparente",'Por Fragrância'!$E$5:$E$192,"5 x 10 cm (frente e verso)")</f>
        <v>1</v>
      </c>
      <c r="D5" s="23" t="n">
        <f aca="false">COUNTIFS('Por Fragrância'!$A$5:$A$192,$A5,'Por Fragrância'!$D$5:$D$192,"Transparente",'Por Fragrância'!$E$5:$E$192,"6,5 x 5 cm")</f>
        <v>1</v>
      </c>
      <c r="E5" s="23" t="n">
        <f aca="false">COUNTIFS('Por Fragrância'!$A$5:$A$192,$A5,'Por Fragrância'!$D$5:$D$192,"Vinil ou Bopp",'Por Fragrância'!$E$5:$E$192,"13 x 5 cm")</f>
        <v>0</v>
      </c>
      <c r="F5" s="23" t="n">
        <f aca="false">COUNTIFS('Por Fragrância'!$A$5:$A$192,$A5,'Por Fragrância'!$D$5:$D$192,"Vinil ou Bopp",'Por Fragrância'!$E$5:$E$192,"18 x 6,5 cm")</f>
        <v>1</v>
      </c>
      <c r="G5" s="23" t="n">
        <f aca="false">COUNTIFS('Por Fragrância'!$A$5:$A$192,$A5,'Por Fragrância'!$D$5:$D$192,"Vinil ou Bopp",'Por Fragrância'!$E$5:$E$192,"22 x 8 cm")</f>
        <v>0</v>
      </c>
      <c r="H5" s="23" t="n">
        <f aca="false">COUNTIFS('Por Fragrância'!$A$5:$A$192,$A5,'Por Fragrância'!$D$5:$D$192,"Vinil ou Bopp",'Por Fragrância'!$E$5:$E$192,"28 x 10,5 cm")</f>
        <v>0</v>
      </c>
      <c r="I5" s="23" t="n">
        <f aca="false">COUNTIFS('Por Fragrância'!$A$5:$A$192,$A5,'Por Fragrância'!$D$5:$D$192,"Vinil ou Bopp",'Por Fragrância'!$E$5:$E$192,"A definir")</f>
        <v>0</v>
      </c>
      <c r="J5" s="24" t="n">
        <f aca="false">SUM(C5:I5)</f>
        <v>3</v>
      </c>
      <c r="K5" s="24" t="n">
        <f aca="false">SUMIFS('Por Fragrância'!$J$5:$J$192,'Por Fragrância'!$A$5:$A$192,$A5)</f>
        <v>248</v>
      </c>
    </row>
    <row r="6" customFormat="false" ht="15" hidden="false" customHeight="false" outlineLevel="0" collapsed="false">
      <c r="A6" s="16" t="s">
        <v>28</v>
      </c>
      <c r="B6" s="16" t="s">
        <v>192</v>
      </c>
      <c r="C6" s="23" t="n">
        <f aca="false">COUNTIFS('Por Fragrância'!$A$5:$A$192,$A6,'Por Fragrância'!$D$5:$D$192,"Transparente",'Por Fragrância'!$E$5:$E$192,"5 x 10 cm (frente e verso)")</f>
        <v>1</v>
      </c>
      <c r="D6" s="23" t="n">
        <f aca="false">COUNTIFS('Por Fragrância'!$A$5:$A$192,$A6,'Por Fragrância'!$D$5:$D$192,"Transparente",'Por Fragrância'!$E$5:$E$192,"6,5 x 5 cm")</f>
        <v>2</v>
      </c>
      <c r="E6" s="23" t="n">
        <f aca="false">COUNTIFS('Por Fragrância'!$A$5:$A$192,$A6,'Por Fragrância'!$D$5:$D$192,"Vinil ou Bopp",'Por Fragrância'!$E$5:$E$192,"13 x 5 cm")</f>
        <v>2</v>
      </c>
      <c r="F6" s="23" t="n">
        <f aca="false">COUNTIFS('Por Fragrância'!$A$5:$A$192,$A6,'Por Fragrância'!$D$5:$D$192,"Vinil ou Bopp",'Por Fragrância'!$E$5:$E$192,"18 x 6,5 cm")</f>
        <v>1</v>
      </c>
      <c r="G6" s="23" t="n">
        <f aca="false">COUNTIFS('Por Fragrância'!$A$5:$A$192,$A6,'Por Fragrância'!$D$5:$D$192,"Vinil ou Bopp",'Por Fragrância'!$E$5:$E$192,"22 x 8 cm")</f>
        <v>3</v>
      </c>
      <c r="H6" s="23" t="n">
        <f aca="false">COUNTIFS('Por Fragrância'!$A$5:$A$192,$A6,'Por Fragrância'!$D$5:$D$192,"Vinil ou Bopp",'Por Fragrância'!$E$5:$E$192,"28 x 10,5 cm")</f>
        <v>1</v>
      </c>
      <c r="I6" s="23" t="n">
        <f aca="false">COUNTIFS('Por Fragrância'!$A$5:$A$192,$A6,'Por Fragrância'!$D$5:$D$192,"Vinil ou Bopp",'Por Fragrância'!$E$5:$E$192,"A definir")</f>
        <v>2</v>
      </c>
      <c r="J6" s="24" t="n">
        <f aca="false">SUM(C6:I6)</f>
        <v>12</v>
      </c>
      <c r="K6" s="24" t="n">
        <f aca="false">SUMIFS('Por Fragrância'!$J$5:$J$192,'Por Fragrância'!$A$5:$A$192,$A6)</f>
        <v>486</v>
      </c>
    </row>
    <row r="7" customFormat="false" ht="15" hidden="false" customHeight="false" outlineLevel="0" collapsed="false">
      <c r="A7" s="16" t="s">
        <v>37</v>
      </c>
      <c r="B7" s="16" t="s">
        <v>30</v>
      </c>
      <c r="C7" s="23" t="n">
        <f aca="false">COUNTIFS('Por Fragrância'!$A$5:$A$192,$A7,'Por Fragrância'!$D$5:$D$192,"Transparente",'Por Fragrância'!$E$5:$E$192,"5 x 10 cm (frente e verso)")</f>
        <v>0</v>
      </c>
      <c r="D7" s="23" t="n">
        <f aca="false">COUNTIFS('Por Fragrância'!$A$5:$A$192,$A7,'Por Fragrância'!$D$5:$D$192,"Transparente",'Por Fragrância'!$E$5:$E$192,"6,5 x 5 cm")</f>
        <v>0</v>
      </c>
      <c r="E7" s="23" t="n">
        <f aca="false">COUNTIFS('Por Fragrância'!$A$5:$A$192,$A7,'Por Fragrância'!$D$5:$D$192,"Vinil ou Bopp",'Por Fragrância'!$E$5:$E$192,"13 x 5 cm")</f>
        <v>0</v>
      </c>
      <c r="F7" s="23" t="n">
        <f aca="false">COUNTIFS('Por Fragrância'!$A$5:$A$192,$A7,'Por Fragrância'!$D$5:$D$192,"Vinil ou Bopp",'Por Fragrância'!$E$5:$E$192,"18 x 6,5 cm")</f>
        <v>0</v>
      </c>
      <c r="G7" s="23" t="n">
        <f aca="false">COUNTIFS('Por Fragrância'!$A$5:$A$192,$A7,'Por Fragrância'!$D$5:$D$192,"Vinil ou Bopp",'Por Fragrância'!$E$5:$E$192,"22 x 8 cm")</f>
        <v>1</v>
      </c>
      <c r="H7" s="23" t="n">
        <f aca="false">COUNTIFS('Por Fragrância'!$A$5:$A$192,$A7,'Por Fragrância'!$D$5:$D$192,"Vinil ou Bopp",'Por Fragrância'!$E$5:$E$192,"28 x 10,5 cm")</f>
        <v>1</v>
      </c>
      <c r="I7" s="23" t="n">
        <f aca="false">COUNTIFS('Por Fragrância'!$A$5:$A$192,$A7,'Por Fragrância'!$D$5:$D$192,"Vinil ou Bopp",'Por Fragrância'!$E$5:$E$192,"A definir")</f>
        <v>1</v>
      </c>
      <c r="J7" s="24" t="n">
        <f aca="false">SUM(C7:I7)</f>
        <v>3</v>
      </c>
      <c r="K7" s="24" t="n">
        <f aca="false">SUMIFS('Por Fragrância'!$J$5:$J$192,'Por Fragrância'!$A$5:$A$192,$A7)</f>
        <v>27</v>
      </c>
    </row>
    <row r="8" customFormat="false" ht="15" hidden="false" customHeight="false" outlineLevel="0" collapsed="false">
      <c r="A8" s="16" t="s">
        <v>38</v>
      </c>
      <c r="B8" s="16" t="s">
        <v>192</v>
      </c>
      <c r="C8" s="23" t="n">
        <f aca="false">COUNTIFS('Por Fragrância'!$A$5:$A$192,$A8,'Por Fragrância'!$D$5:$D$192,"Transparente",'Por Fragrância'!$E$5:$E$192,"5 x 10 cm (frente e verso)")</f>
        <v>1</v>
      </c>
      <c r="D8" s="23" t="n">
        <f aca="false">COUNTIFS('Por Fragrância'!$A$5:$A$192,$A8,'Por Fragrância'!$D$5:$D$192,"Transparente",'Por Fragrância'!$E$5:$E$192,"6,5 x 5 cm")</f>
        <v>2</v>
      </c>
      <c r="E8" s="23" t="n">
        <f aca="false">COUNTIFS('Por Fragrância'!$A$5:$A$192,$A8,'Por Fragrância'!$D$5:$D$192,"Vinil ou Bopp",'Por Fragrância'!$E$5:$E$192,"13 x 5 cm")</f>
        <v>2</v>
      </c>
      <c r="F8" s="23" t="n">
        <f aca="false">COUNTIFS('Por Fragrância'!$A$5:$A$192,$A8,'Por Fragrância'!$D$5:$D$192,"Vinil ou Bopp",'Por Fragrância'!$E$5:$E$192,"18 x 6,5 cm")</f>
        <v>1</v>
      </c>
      <c r="G8" s="23" t="n">
        <f aca="false">COUNTIFS('Por Fragrância'!$A$5:$A$192,$A8,'Por Fragrância'!$D$5:$D$192,"Vinil ou Bopp",'Por Fragrância'!$E$5:$E$192,"22 x 8 cm")</f>
        <v>3</v>
      </c>
      <c r="H8" s="23" t="n">
        <f aca="false">COUNTIFS('Por Fragrância'!$A$5:$A$192,$A8,'Por Fragrância'!$D$5:$D$192,"Vinil ou Bopp",'Por Fragrância'!$E$5:$E$192,"28 x 10,5 cm")</f>
        <v>2</v>
      </c>
      <c r="I8" s="23" t="n">
        <f aca="false">COUNTIFS('Por Fragrância'!$A$5:$A$192,$A8,'Por Fragrância'!$D$5:$D$192,"Vinil ou Bopp",'Por Fragrância'!$E$5:$E$192,"A definir")</f>
        <v>0</v>
      </c>
      <c r="J8" s="24" t="n">
        <f aca="false">SUM(C8:I8)</f>
        <v>11</v>
      </c>
      <c r="K8" s="24" t="n">
        <f aca="false">SUMIFS('Por Fragrância'!$J$5:$J$192,'Por Fragrância'!$A$5:$A$192,$A8)</f>
        <v>398</v>
      </c>
    </row>
    <row r="9" customFormat="false" ht="15" hidden="false" customHeight="false" outlineLevel="0" collapsed="false">
      <c r="A9" s="16" t="s">
        <v>39</v>
      </c>
      <c r="B9" s="16" t="s">
        <v>30</v>
      </c>
      <c r="C9" s="23" t="n">
        <f aca="false">COUNTIFS('Por Fragrância'!$A$5:$A$192,$A9,'Por Fragrância'!$D$5:$D$192,"Transparente",'Por Fragrância'!$E$5:$E$192,"5 x 10 cm (frente e verso)")</f>
        <v>0</v>
      </c>
      <c r="D9" s="23" t="n">
        <f aca="false">COUNTIFS('Por Fragrância'!$A$5:$A$192,$A9,'Por Fragrância'!$D$5:$D$192,"Transparente",'Por Fragrância'!$E$5:$E$192,"6,5 x 5 cm")</f>
        <v>0</v>
      </c>
      <c r="E9" s="23" t="n">
        <f aca="false">COUNTIFS('Por Fragrância'!$A$5:$A$192,$A9,'Por Fragrância'!$D$5:$D$192,"Vinil ou Bopp",'Por Fragrância'!$E$5:$E$192,"13 x 5 cm")</f>
        <v>1</v>
      </c>
      <c r="F9" s="23" t="n">
        <f aca="false">COUNTIFS('Por Fragrância'!$A$5:$A$192,$A9,'Por Fragrância'!$D$5:$D$192,"Vinil ou Bopp",'Por Fragrância'!$E$5:$E$192,"18 x 6,5 cm")</f>
        <v>0</v>
      </c>
      <c r="G9" s="23" t="n">
        <f aca="false">COUNTIFS('Por Fragrância'!$A$5:$A$192,$A9,'Por Fragrância'!$D$5:$D$192,"Vinil ou Bopp",'Por Fragrância'!$E$5:$E$192,"22 x 8 cm")</f>
        <v>0</v>
      </c>
      <c r="H9" s="23" t="n">
        <f aca="false">COUNTIFS('Por Fragrância'!$A$5:$A$192,$A9,'Por Fragrância'!$D$5:$D$192,"Vinil ou Bopp",'Por Fragrância'!$E$5:$E$192,"28 x 10,5 cm")</f>
        <v>0</v>
      </c>
      <c r="I9" s="23" t="n">
        <f aca="false">COUNTIFS('Por Fragrância'!$A$5:$A$192,$A9,'Por Fragrância'!$D$5:$D$192,"Vinil ou Bopp",'Por Fragrância'!$E$5:$E$192,"A definir")</f>
        <v>0</v>
      </c>
      <c r="J9" s="24" t="n">
        <f aca="false">SUM(C9:I9)</f>
        <v>1</v>
      </c>
      <c r="K9" s="24" t="n">
        <f aca="false">SUMIFS('Por Fragrância'!$J$5:$J$192,'Por Fragrância'!$A$5:$A$192,$A9)</f>
        <v>8</v>
      </c>
    </row>
    <row r="10" customFormat="false" ht="15" hidden="false" customHeight="false" outlineLevel="0" collapsed="false">
      <c r="A10" s="16" t="s">
        <v>40</v>
      </c>
      <c r="B10" s="16" t="s">
        <v>30</v>
      </c>
      <c r="C10" s="23" t="n">
        <f aca="false">COUNTIFS('Por Fragrância'!$A$5:$A$192,$A10,'Por Fragrância'!$D$5:$D$192,"Transparente",'Por Fragrância'!$E$5:$E$192,"5 x 10 cm (frente e verso)")</f>
        <v>0</v>
      </c>
      <c r="D10" s="23" t="n">
        <f aca="false">COUNTIFS('Por Fragrância'!$A$5:$A$192,$A10,'Por Fragrância'!$D$5:$D$192,"Transparente",'Por Fragrância'!$E$5:$E$192,"6,5 x 5 cm")</f>
        <v>0</v>
      </c>
      <c r="E10" s="23" t="n">
        <f aca="false">COUNTIFS('Por Fragrância'!$A$5:$A$192,$A10,'Por Fragrância'!$D$5:$D$192,"Vinil ou Bopp",'Por Fragrância'!$E$5:$E$192,"13 x 5 cm")</f>
        <v>0</v>
      </c>
      <c r="F10" s="23" t="n">
        <f aca="false">COUNTIFS('Por Fragrância'!$A$5:$A$192,$A10,'Por Fragrância'!$D$5:$D$192,"Vinil ou Bopp",'Por Fragrância'!$E$5:$E$192,"18 x 6,5 cm")</f>
        <v>0</v>
      </c>
      <c r="G10" s="23" t="n">
        <f aca="false">COUNTIFS('Por Fragrância'!$A$5:$A$192,$A10,'Por Fragrância'!$D$5:$D$192,"Vinil ou Bopp",'Por Fragrância'!$E$5:$E$192,"22 x 8 cm")</f>
        <v>1</v>
      </c>
      <c r="H10" s="23" t="n">
        <f aca="false">COUNTIFS('Por Fragrância'!$A$5:$A$192,$A10,'Por Fragrância'!$D$5:$D$192,"Vinil ou Bopp",'Por Fragrância'!$E$5:$E$192,"28 x 10,5 cm")</f>
        <v>0</v>
      </c>
      <c r="I10" s="23" t="n">
        <f aca="false">COUNTIFS('Por Fragrância'!$A$5:$A$192,$A10,'Por Fragrância'!$D$5:$D$192,"Vinil ou Bopp",'Por Fragrância'!$E$5:$E$192,"A definir")</f>
        <v>0</v>
      </c>
      <c r="J10" s="24" t="n">
        <f aca="false">SUM(C10:I10)</f>
        <v>1</v>
      </c>
      <c r="K10" s="24" t="n">
        <f aca="false">SUMIFS('Por Fragrância'!$J$5:$J$192,'Por Fragrância'!$A$5:$A$192,$A10)</f>
        <v>2</v>
      </c>
    </row>
    <row r="11" customFormat="false" ht="15" hidden="false" customHeight="false" outlineLevel="0" collapsed="false">
      <c r="A11" s="16" t="s">
        <v>41</v>
      </c>
      <c r="B11" s="16" t="s">
        <v>192</v>
      </c>
      <c r="C11" s="23" t="n">
        <f aca="false">COUNTIFS('Por Fragrância'!$A$5:$A$192,$A11,'Por Fragrância'!$D$5:$D$192,"Transparente",'Por Fragrância'!$E$5:$E$192,"5 x 10 cm (frente e verso)")</f>
        <v>1</v>
      </c>
      <c r="D11" s="23" t="n">
        <f aca="false">COUNTIFS('Por Fragrância'!$A$5:$A$192,$A11,'Por Fragrância'!$D$5:$D$192,"Transparente",'Por Fragrância'!$E$5:$E$192,"6,5 x 5 cm")</f>
        <v>2</v>
      </c>
      <c r="E11" s="23" t="n">
        <f aca="false">COUNTIFS('Por Fragrância'!$A$5:$A$192,$A11,'Por Fragrância'!$D$5:$D$192,"Vinil ou Bopp",'Por Fragrância'!$E$5:$E$192,"13 x 5 cm")</f>
        <v>2</v>
      </c>
      <c r="F11" s="23" t="n">
        <f aca="false">COUNTIFS('Por Fragrância'!$A$5:$A$192,$A11,'Por Fragrância'!$D$5:$D$192,"Vinil ou Bopp",'Por Fragrância'!$E$5:$E$192,"18 x 6,5 cm")</f>
        <v>2</v>
      </c>
      <c r="G11" s="23" t="n">
        <f aca="false">COUNTIFS('Por Fragrância'!$A$5:$A$192,$A11,'Por Fragrância'!$D$5:$D$192,"Vinil ou Bopp",'Por Fragrância'!$E$5:$E$192,"22 x 8 cm")</f>
        <v>2</v>
      </c>
      <c r="H11" s="23" t="n">
        <f aca="false">COUNTIFS('Por Fragrância'!$A$5:$A$192,$A11,'Por Fragrância'!$D$5:$D$192,"Vinil ou Bopp",'Por Fragrância'!$E$5:$E$192,"28 x 10,5 cm")</f>
        <v>0</v>
      </c>
      <c r="I11" s="23" t="n">
        <f aca="false">COUNTIFS('Por Fragrância'!$A$5:$A$192,$A11,'Por Fragrância'!$D$5:$D$192,"Vinil ou Bopp",'Por Fragrância'!$E$5:$E$192,"A definir")</f>
        <v>0</v>
      </c>
      <c r="J11" s="24" t="n">
        <f aca="false">SUM(C11:I11)</f>
        <v>9</v>
      </c>
      <c r="K11" s="24" t="n">
        <f aca="false">SUMIFS('Por Fragrância'!$J$5:$J$192,'Por Fragrância'!$A$5:$A$192,$A11)</f>
        <v>365</v>
      </c>
    </row>
    <row r="12" customFormat="false" ht="15" hidden="false" customHeight="false" outlineLevel="0" collapsed="false">
      <c r="A12" s="16" t="s">
        <v>42</v>
      </c>
      <c r="B12" s="16" t="s">
        <v>30</v>
      </c>
      <c r="C12" s="23" t="n">
        <f aca="false">COUNTIFS('Por Fragrância'!$A$5:$A$192,$A12,'Por Fragrância'!$D$5:$D$192,"Transparente",'Por Fragrância'!$E$5:$E$192,"5 x 10 cm (frente e verso)")</f>
        <v>0</v>
      </c>
      <c r="D12" s="23" t="n">
        <f aca="false">COUNTIFS('Por Fragrância'!$A$5:$A$192,$A12,'Por Fragrância'!$D$5:$D$192,"Transparente",'Por Fragrância'!$E$5:$E$192,"6,5 x 5 cm")</f>
        <v>0</v>
      </c>
      <c r="E12" s="23" t="n">
        <f aca="false">COUNTIFS('Por Fragrância'!$A$5:$A$192,$A12,'Por Fragrância'!$D$5:$D$192,"Vinil ou Bopp",'Por Fragrância'!$E$5:$E$192,"13 x 5 cm")</f>
        <v>0</v>
      </c>
      <c r="F12" s="23" t="n">
        <f aca="false">COUNTIFS('Por Fragrância'!$A$5:$A$192,$A12,'Por Fragrância'!$D$5:$D$192,"Vinil ou Bopp",'Por Fragrância'!$E$5:$E$192,"18 x 6,5 cm")</f>
        <v>0</v>
      </c>
      <c r="G12" s="23" t="n">
        <f aca="false">COUNTIFS('Por Fragrância'!$A$5:$A$192,$A12,'Por Fragrância'!$D$5:$D$192,"Vinil ou Bopp",'Por Fragrância'!$E$5:$E$192,"22 x 8 cm")</f>
        <v>1</v>
      </c>
      <c r="H12" s="23" t="n">
        <f aca="false">COUNTIFS('Por Fragrância'!$A$5:$A$192,$A12,'Por Fragrância'!$D$5:$D$192,"Vinil ou Bopp",'Por Fragrância'!$E$5:$E$192,"28 x 10,5 cm")</f>
        <v>0</v>
      </c>
      <c r="I12" s="23" t="n">
        <f aca="false">COUNTIFS('Por Fragrância'!$A$5:$A$192,$A12,'Por Fragrância'!$D$5:$D$192,"Vinil ou Bopp",'Por Fragrância'!$E$5:$E$192,"A definir")</f>
        <v>0</v>
      </c>
      <c r="J12" s="24" t="n">
        <f aca="false">SUM(C12:I12)</f>
        <v>1</v>
      </c>
      <c r="K12" s="24" t="n">
        <f aca="false">SUMIFS('Por Fragrância'!$J$5:$J$192,'Por Fragrância'!$A$5:$A$192,$A12)</f>
        <v>6</v>
      </c>
    </row>
    <row r="13" customFormat="false" ht="15" hidden="false" customHeight="false" outlineLevel="0" collapsed="false">
      <c r="A13" s="16" t="s">
        <v>43</v>
      </c>
      <c r="B13" s="16" t="s">
        <v>192</v>
      </c>
      <c r="C13" s="23" t="n">
        <f aca="false">COUNTIFS('Por Fragrância'!$A$5:$A$192,$A13,'Por Fragrância'!$D$5:$D$192,"Transparente",'Por Fragrância'!$E$5:$E$192,"5 x 10 cm (frente e verso)")</f>
        <v>1</v>
      </c>
      <c r="D13" s="23" t="n">
        <f aca="false">COUNTIFS('Por Fragrância'!$A$5:$A$192,$A13,'Por Fragrância'!$D$5:$D$192,"Transparente",'Por Fragrância'!$E$5:$E$192,"6,5 x 5 cm")</f>
        <v>2</v>
      </c>
      <c r="E13" s="23" t="n">
        <f aca="false">COUNTIFS('Por Fragrância'!$A$5:$A$192,$A13,'Por Fragrância'!$D$5:$D$192,"Vinil ou Bopp",'Por Fragrância'!$E$5:$E$192,"13 x 5 cm")</f>
        <v>2</v>
      </c>
      <c r="F13" s="23" t="n">
        <f aca="false">COUNTIFS('Por Fragrância'!$A$5:$A$192,$A13,'Por Fragrância'!$D$5:$D$192,"Vinil ou Bopp",'Por Fragrância'!$E$5:$E$192,"18 x 6,5 cm")</f>
        <v>1</v>
      </c>
      <c r="G13" s="23" t="n">
        <f aca="false">COUNTIFS('Por Fragrância'!$A$5:$A$192,$A13,'Por Fragrância'!$D$5:$D$192,"Vinil ou Bopp",'Por Fragrância'!$E$5:$E$192,"22 x 8 cm")</f>
        <v>2</v>
      </c>
      <c r="H13" s="23" t="n">
        <f aca="false">COUNTIFS('Por Fragrância'!$A$5:$A$192,$A13,'Por Fragrância'!$D$5:$D$192,"Vinil ou Bopp",'Por Fragrância'!$E$5:$E$192,"28 x 10,5 cm")</f>
        <v>0</v>
      </c>
      <c r="I13" s="23" t="n">
        <f aca="false">COUNTIFS('Por Fragrância'!$A$5:$A$192,$A13,'Por Fragrância'!$D$5:$D$192,"Vinil ou Bopp",'Por Fragrância'!$E$5:$E$192,"A definir")</f>
        <v>0</v>
      </c>
      <c r="J13" s="24" t="n">
        <f aca="false">SUM(C13:I13)</f>
        <v>8</v>
      </c>
      <c r="K13" s="24" t="n">
        <f aca="false">SUMIFS('Por Fragrância'!$J$5:$J$192,'Por Fragrância'!$A$5:$A$192,$A13)</f>
        <v>274</v>
      </c>
    </row>
    <row r="14" customFormat="false" ht="15" hidden="false" customHeight="false" outlineLevel="0" collapsed="false">
      <c r="A14" s="16" t="s">
        <v>44</v>
      </c>
      <c r="B14" s="16" t="s">
        <v>30</v>
      </c>
      <c r="C14" s="23" t="n">
        <f aca="false">COUNTIFS('Por Fragrância'!$A$5:$A$192,$A14,'Por Fragrância'!$D$5:$D$192,"Transparente",'Por Fragrância'!$E$5:$E$192,"5 x 10 cm (frente e verso)")</f>
        <v>0</v>
      </c>
      <c r="D14" s="23" t="n">
        <f aca="false">COUNTIFS('Por Fragrância'!$A$5:$A$192,$A14,'Por Fragrância'!$D$5:$D$192,"Transparente",'Por Fragrância'!$E$5:$E$192,"6,5 x 5 cm")</f>
        <v>0</v>
      </c>
      <c r="E14" s="23" t="n">
        <f aca="false">COUNTIFS('Por Fragrância'!$A$5:$A$192,$A14,'Por Fragrância'!$D$5:$D$192,"Vinil ou Bopp",'Por Fragrância'!$E$5:$E$192,"13 x 5 cm")</f>
        <v>0</v>
      </c>
      <c r="F14" s="23" t="n">
        <f aca="false">COUNTIFS('Por Fragrância'!$A$5:$A$192,$A14,'Por Fragrância'!$D$5:$D$192,"Vinil ou Bopp",'Por Fragrância'!$E$5:$E$192,"18 x 6,5 cm")</f>
        <v>1</v>
      </c>
      <c r="G14" s="23" t="n">
        <f aca="false">COUNTIFS('Por Fragrância'!$A$5:$A$192,$A14,'Por Fragrância'!$D$5:$D$192,"Vinil ou Bopp",'Por Fragrância'!$E$5:$E$192,"22 x 8 cm")</f>
        <v>0</v>
      </c>
      <c r="H14" s="23" t="n">
        <f aca="false">COUNTIFS('Por Fragrância'!$A$5:$A$192,$A14,'Por Fragrância'!$D$5:$D$192,"Vinil ou Bopp",'Por Fragrância'!$E$5:$E$192,"28 x 10,5 cm")</f>
        <v>1</v>
      </c>
      <c r="I14" s="23" t="n">
        <f aca="false">COUNTIFS('Por Fragrância'!$A$5:$A$192,$A14,'Por Fragrância'!$D$5:$D$192,"Vinil ou Bopp",'Por Fragrância'!$E$5:$E$192,"A definir")</f>
        <v>1</v>
      </c>
      <c r="J14" s="24" t="n">
        <f aca="false">SUM(C14:I14)</f>
        <v>3</v>
      </c>
      <c r="K14" s="24" t="n">
        <f aca="false">SUMIFS('Por Fragrância'!$J$5:$J$192,'Por Fragrância'!$A$5:$A$192,$A14)</f>
        <v>231</v>
      </c>
    </row>
    <row r="15" customFormat="false" ht="15" hidden="false" customHeight="false" outlineLevel="0" collapsed="false">
      <c r="A15" s="16" t="s">
        <v>45</v>
      </c>
      <c r="B15" s="16" t="s">
        <v>30</v>
      </c>
      <c r="C15" s="23" t="n">
        <f aca="false">COUNTIFS('Por Fragrância'!$A$5:$A$192,$A15,'Por Fragrância'!$D$5:$D$192,"Transparente",'Por Fragrância'!$E$5:$E$192,"5 x 10 cm (frente e verso)")</f>
        <v>0</v>
      </c>
      <c r="D15" s="23" t="n">
        <f aca="false">COUNTIFS('Por Fragrância'!$A$5:$A$192,$A15,'Por Fragrância'!$D$5:$D$192,"Transparente",'Por Fragrância'!$E$5:$E$192,"6,5 x 5 cm")</f>
        <v>0</v>
      </c>
      <c r="E15" s="23" t="n">
        <f aca="false">COUNTIFS('Por Fragrância'!$A$5:$A$192,$A15,'Por Fragrância'!$D$5:$D$192,"Vinil ou Bopp",'Por Fragrância'!$E$5:$E$192,"13 x 5 cm")</f>
        <v>1</v>
      </c>
      <c r="F15" s="23" t="n">
        <f aca="false">COUNTIFS('Por Fragrância'!$A$5:$A$192,$A15,'Por Fragrância'!$D$5:$D$192,"Vinil ou Bopp",'Por Fragrância'!$E$5:$E$192,"18 x 6,5 cm")</f>
        <v>0</v>
      </c>
      <c r="G15" s="23" t="n">
        <f aca="false">COUNTIFS('Por Fragrância'!$A$5:$A$192,$A15,'Por Fragrância'!$D$5:$D$192,"Vinil ou Bopp",'Por Fragrância'!$E$5:$E$192,"22 x 8 cm")</f>
        <v>3</v>
      </c>
      <c r="H15" s="23" t="n">
        <f aca="false">COUNTIFS('Por Fragrância'!$A$5:$A$192,$A15,'Por Fragrância'!$D$5:$D$192,"Vinil ou Bopp",'Por Fragrância'!$E$5:$E$192,"28 x 10,5 cm")</f>
        <v>1</v>
      </c>
      <c r="I15" s="23" t="n">
        <f aca="false">COUNTIFS('Por Fragrância'!$A$5:$A$192,$A15,'Por Fragrância'!$D$5:$D$192,"Vinil ou Bopp",'Por Fragrância'!$E$5:$E$192,"A definir")</f>
        <v>0</v>
      </c>
      <c r="J15" s="24" t="n">
        <f aca="false">SUM(C15:I15)</f>
        <v>5</v>
      </c>
      <c r="K15" s="24" t="n">
        <f aca="false">SUMIFS('Por Fragrância'!$J$5:$J$192,'Por Fragrância'!$A$5:$A$192,$A15)</f>
        <v>77</v>
      </c>
    </row>
    <row r="16" customFormat="false" ht="15" hidden="false" customHeight="false" outlineLevel="0" collapsed="false">
      <c r="A16" s="16" t="s">
        <v>46</v>
      </c>
      <c r="B16" s="16" t="s">
        <v>30</v>
      </c>
      <c r="C16" s="23" t="n">
        <f aca="false">COUNTIFS('Por Fragrância'!$A$5:$A$192,$A16,'Por Fragrância'!$D$5:$D$192,"Transparente",'Por Fragrância'!$E$5:$E$192,"5 x 10 cm (frente e verso)")</f>
        <v>0</v>
      </c>
      <c r="D16" s="23" t="n">
        <f aca="false">COUNTIFS('Por Fragrância'!$A$5:$A$192,$A16,'Por Fragrância'!$D$5:$D$192,"Transparente",'Por Fragrância'!$E$5:$E$192,"6,5 x 5 cm")</f>
        <v>0</v>
      </c>
      <c r="E16" s="23" t="n">
        <f aca="false">COUNTIFS('Por Fragrância'!$A$5:$A$192,$A16,'Por Fragrância'!$D$5:$D$192,"Vinil ou Bopp",'Por Fragrância'!$E$5:$E$192,"13 x 5 cm")</f>
        <v>0</v>
      </c>
      <c r="F16" s="23" t="n">
        <f aca="false">COUNTIFS('Por Fragrância'!$A$5:$A$192,$A16,'Por Fragrância'!$D$5:$D$192,"Vinil ou Bopp",'Por Fragrância'!$E$5:$E$192,"18 x 6,5 cm")</f>
        <v>0</v>
      </c>
      <c r="G16" s="23" t="n">
        <f aca="false">COUNTIFS('Por Fragrância'!$A$5:$A$192,$A16,'Por Fragrância'!$D$5:$D$192,"Vinil ou Bopp",'Por Fragrância'!$E$5:$E$192,"22 x 8 cm")</f>
        <v>1</v>
      </c>
      <c r="H16" s="23" t="n">
        <f aca="false">COUNTIFS('Por Fragrância'!$A$5:$A$192,$A16,'Por Fragrância'!$D$5:$D$192,"Vinil ou Bopp",'Por Fragrância'!$E$5:$E$192,"28 x 10,5 cm")</f>
        <v>0</v>
      </c>
      <c r="I16" s="23" t="n">
        <f aca="false">COUNTIFS('Por Fragrância'!$A$5:$A$192,$A16,'Por Fragrância'!$D$5:$D$192,"Vinil ou Bopp",'Por Fragrância'!$E$5:$E$192,"A definir")</f>
        <v>0</v>
      </c>
      <c r="J16" s="24" t="n">
        <f aca="false">SUM(C16:I16)</f>
        <v>1</v>
      </c>
      <c r="K16" s="24" t="n">
        <f aca="false">SUMIFS('Por Fragrância'!$J$5:$J$192,'Por Fragrância'!$A$5:$A$192,$A16)</f>
        <v>18</v>
      </c>
    </row>
    <row r="17" customFormat="false" ht="15" hidden="false" customHeight="false" outlineLevel="0" collapsed="false">
      <c r="A17" s="16" t="s">
        <v>47</v>
      </c>
      <c r="B17" s="16" t="s">
        <v>15</v>
      </c>
      <c r="C17" s="23" t="n">
        <f aca="false">COUNTIFS('Por Fragrância'!$A$5:$A$192,$A17,'Por Fragrância'!$D$5:$D$192,"Transparente",'Por Fragrância'!$E$5:$E$192,"5 x 10 cm (frente e verso)")</f>
        <v>1</v>
      </c>
      <c r="D17" s="23" t="n">
        <f aca="false">COUNTIFS('Por Fragrância'!$A$5:$A$192,$A17,'Por Fragrância'!$D$5:$D$192,"Transparente",'Por Fragrância'!$E$5:$E$192,"6,5 x 5 cm")</f>
        <v>1</v>
      </c>
      <c r="E17" s="23" t="n">
        <f aca="false">COUNTIFS('Por Fragrância'!$A$5:$A$192,$A17,'Por Fragrância'!$D$5:$D$192,"Vinil ou Bopp",'Por Fragrância'!$E$5:$E$192,"13 x 5 cm")</f>
        <v>0</v>
      </c>
      <c r="F17" s="23" t="n">
        <f aca="false">COUNTIFS('Por Fragrância'!$A$5:$A$192,$A17,'Por Fragrância'!$D$5:$D$192,"Vinil ou Bopp",'Por Fragrância'!$E$5:$E$192,"18 x 6,5 cm")</f>
        <v>1</v>
      </c>
      <c r="G17" s="23" t="n">
        <f aca="false">COUNTIFS('Por Fragrância'!$A$5:$A$192,$A17,'Por Fragrância'!$D$5:$D$192,"Vinil ou Bopp",'Por Fragrância'!$E$5:$E$192,"22 x 8 cm")</f>
        <v>0</v>
      </c>
      <c r="H17" s="23" t="n">
        <f aca="false">COUNTIFS('Por Fragrância'!$A$5:$A$192,$A17,'Por Fragrância'!$D$5:$D$192,"Vinil ou Bopp",'Por Fragrância'!$E$5:$E$192,"28 x 10,5 cm")</f>
        <v>0</v>
      </c>
      <c r="I17" s="23" t="n">
        <f aca="false">COUNTIFS('Por Fragrância'!$A$5:$A$192,$A17,'Por Fragrância'!$D$5:$D$192,"Vinil ou Bopp",'Por Fragrância'!$E$5:$E$192,"A definir")</f>
        <v>0</v>
      </c>
      <c r="J17" s="24" t="n">
        <f aca="false">SUM(C17:I17)</f>
        <v>3</v>
      </c>
      <c r="K17" s="24" t="n">
        <f aca="false">SUMIFS('Por Fragrância'!$J$5:$J$192,'Por Fragrância'!$A$5:$A$192,$A17)</f>
        <v>248</v>
      </c>
    </row>
    <row r="18" customFormat="false" ht="15" hidden="false" customHeight="false" outlineLevel="0" collapsed="false">
      <c r="A18" s="16" t="s">
        <v>48</v>
      </c>
      <c r="B18" s="16" t="s">
        <v>192</v>
      </c>
      <c r="C18" s="23" t="n">
        <f aca="false">COUNTIFS('Por Fragrância'!$A$5:$A$192,$A18,'Por Fragrância'!$D$5:$D$192,"Transparente",'Por Fragrância'!$E$5:$E$192,"5 x 10 cm (frente e verso)")</f>
        <v>1</v>
      </c>
      <c r="D18" s="23" t="n">
        <f aca="false">COUNTIFS('Por Fragrância'!$A$5:$A$192,$A18,'Por Fragrância'!$D$5:$D$192,"Transparente",'Por Fragrância'!$E$5:$E$192,"6,5 x 5 cm")</f>
        <v>2</v>
      </c>
      <c r="E18" s="23" t="n">
        <f aca="false">COUNTIFS('Por Fragrância'!$A$5:$A$192,$A18,'Por Fragrância'!$D$5:$D$192,"Vinil ou Bopp",'Por Fragrância'!$E$5:$E$192,"13 x 5 cm")</f>
        <v>2</v>
      </c>
      <c r="F18" s="23" t="n">
        <f aca="false">COUNTIFS('Por Fragrância'!$A$5:$A$192,$A18,'Por Fragrância'!$D$5:$D$192,"Vinil ou Bopp",'Por Fragrância'!$E$5:$E$192,"18 x 6,5 cm")</f>
        <v>1</v>
      </c>
      <c r="G18" s="23" t="n">
        <f aca="false">COUNTIFS('Por Fragrância'!$A$5:$A$192,$A18,'Por Fragrância'!$D$5:$D$192,"Vinil ou Bopp",'Por Fragrância'!$E$5:$E$192,"22 x 8 cm")</f>
        <v>3</v>
      </c>
      <c r="H18" s="23" t="n">
        <f aca="false">COUNTIFS('Por Fragrância'!$A$5:$A$192,$A18,'Por Fragrância'!$D$5:$D$192,"Vinil ou Bopp",'Por Fragrância'!$E$5:$E$192,"28 x 10,5 cm")</f>
        <v>1</v>
      </c>
      <c r="I18" s="23" t="n">
        <f aca="false">COUNTIFS('Por Fragrância'!$A$5:$A$192,$A18,'Por Fragrância'!$D$5:$D$192,"Vinil ou Bopp",'Por Fragrância'!$E$5:$E$192,"A definir")</f>
        <v>0</v>
      </c>
      <c r="J18" s="24" t="n">
        <f aca="false">SUM(C18:I18)</f>
        <v>10</v>
      </c>
      <c r="K18" s="24" t="n">
        <f aca="false">SUMIFS('Por Fragrância'!$J$5:$J$192,'Por Fragrância'!$A$5:$A$192,$A18)</f>
        <v>509</v>
      </c>
    </row>
    <row r="19" customFormat="false" ht="15" hidden="false" customHeight="false" outlineLevel="0" collapsed="false">
      <c r="A19" s="16" t="s">
        <v>49</v>
      </c>
      <c r="B19" s="16" t="s">
        <v>30</v>
      </c>
      <c r="C19" s="23" t="n">
        <f aca="false">COUNTIFS('Por Fragrância'!$A$5:$A$192,$A19,'Por Fragrância'!$D$5:$D$192,"Transparente",'Por Fragrância'!$E$5:$E$192,"5 x 10 cm (frente e verso)")</f>
        <v>0</v>
      </c>
      <c r="D19" s="23" t="n">
        <f aca="false">COUNTIFS('Por Fragrância'!$A$5:$A$192,$A19,'Por Fragrância'!$D$5:$D$192,"Transparente",'Por Fragrância'!$E$5:$E$192,"6,5 x 5 cm")</f>
        <v>0</v>
      </c>
      <c r="E19" s="23" t="n">
        <f aca="false">COUNTIFS('Por Fragrância'!$A$5:$A$192,$A19,'Por Fragrância'!$D$5:$D$192,"Vinil ou Bopp",'Por Fragrância'!$E$5:$E$192,"13 x 5 cm")</f>
        <v>0</v>
      </c>
      <c r="F19" s="23" t="n">
        <f aca="false">COUNTIFS('Por Fragrância'!$A$5:$A$192,$A19,'Por Fragrância'!$D$5:$D$192,"Vinil ou Bopp",'Por Fragrância'!$E$5:$E$192,"18 x 6,5 cm")</f>
        <v>1</v>
      </c>
      <c r="G19" s="23" t="n">
        <f aca="false">COUNTIFS('Por Fragrância'!$A$5:$A$192,$A19,'Por Fragrância'!$D$5:$D$192,"Vinil ou Bopp",'Por Fragrância'!$E$5:$E$192,"22 x 8 cm")</f>
        <v>0</v>
      </c>
      <c r="H19" s="23" t="n">
        <f aca="false">COUNTIFS('Por Fragrância'!$A$5:$A$192,$A19,'Por Fragrância'!$D$5:$D$192,"Vinil ou Bopp",'Por Fragrância'!$E$5:$E$192,"28 x 10,5 cm")</f>
        <v>0</v>
      </c>
      <c r="I19" s="23" t="n">
        <f aca="false">COUNTIFS('Por Fragrância'!$A$5:$A$192,$A19,'Por Fragrância'!$D$5:$D$192,"Vinil ou Bopp",'Por Fragrância'!$E$5:$E$192,"A definir")</f>
        <v>0</v>
      </c>
      <c r="J19" s="24" t="n">
        <f aca="false">SUM(C19:I19)</f>
        <v>1</v>
      </c>
      <c r="K19" s="24" t="n">
        <f aca="false">SUMIFS('Por Fragrância'!$J$5:$J$192,'Por Fragrância'!$A$5:$A$192,$A19)</f>
        <v>8</v>
      </c>
    </row>
    <row r="20" customFormat="false" ht="15" hidden="false" customHeight="false" outlineLevel="0" collapsed="false">
      <c r="A20" s="16" t="s">
        <v>50</v>
      </c>
      <c r="B20" s="16" t="s">
        <v>30</v>
      </c>
      <c r="C20" s="23" t="n">
        <f aca="false">COUNTIFS('Por Fragrância'!$A$5:$A$192,$A20,'Por Fragrância'!$D$5:$D$192,"Transparente",'Por Fragrância'!$E$5:$E$192,"5 x 10 cm (frente e verso)")</f>
        <v>0</v>
      </c>
      <c r="D20" s="23" t="n">
        <f aca="false">COUNTIFS('Por Fragrância'!$A$5:$A$192,$A20,'Por Fragrância'!$D$5:$D$192,"Transparente",'Por Fragrância'!$E$5:$E$192,"6,5 x 5 cm")</f>
        <v>0</v>
      </c>
      <c r="E20" s="23" t="n">
        <f aca="false">COUNTIFS('Por Fragrância'!$A$5:$A$192,$A20,'Por Fragrância'!$D$5:$D$192,"Vinil ou Bopp",'Por Fragrância'!$E$5:$E$192,"13 x 5 cm")</f>
        <v>0</v>
      </c>
      <c r="F20" s="23" t="n">
        <f aca="false">COUNTIFS('Por Fragrância'!$A$5:$A$192,$A20,'Por Fragrância'!$D$5:$D$192,"Vinil ou Bopp",'Por Fragrância'!$E$5:$E$192,"18 x 6,5 cm")</f>
        <v>0</v>
      </c>
      <c r="G20" s="23" t="n">
        <f aca="false">COUNTIFS('Por Fragrância'!$A$5:$A$192,$A20,'Por Fragrância'!$D$5:$D$192,"Vinil ou Bopp",'Por Fragrância'!$E$5:$E$192,"22 x 8 cm")</f>
        <v>1</v>
      </c>
      <c r="H20" s="23" t="n">
        <f aca="false">COUNTIFS('Por Fragrância'!$A$5:$A$192,$A20,'Por Fragrância'!$D$5:$D$192,"Vinil ou Bopp",'Por Fragrância'!$E$5:$E$192,"28 x 10,5 cm")</f>
        <v>0</v>
      </c>
      <c r="I20" s="23" t="n">
        <f aca="false">COUNTIFS('Por Fragrância'!$A$5:$A$192,$A20,'Por Fragrância'!$D$5:$D$192,"Vinil ou Bopp",'Por Fragrância'!$E$5:$E$192,"A definir")</f>
        <v>0</v>
      </c>
      <c r="J20" s="24" t="n">
        <f aca="false">SUM(C20:I20)</f>
        <v>1</v>
      </c>
      <c r="K20" s="24" t="n">
        <f aca="false">SUMIFS('Por Fragrância'!$J$5:$J$192,'Por Fragrância'!$A$5:$A$192,$A20)</f>
        <v>19</v>
      </c>
    </row>
    <row r="21" customFormat="false" ht="15" hidden="false" customHeight="false" outlineLevel="0" collapsed="false">
      <c r="A21" s="16" t="s">
        <v>51</v>
      </c>
      <c r="B21" s="16" t="s">
        <v>30</v>
      </c>
      <c r="C21" s="23" t="n">
        <f aca="false">COUNTIFS('Por Fragrância'!$A$5:$A$192,$A21,'Por Fragrância'!$D$5:$D$192,"Transparente",'Por Fragrância'!$E$5:$E$192,"5 x 10 cm (frente e verso)")</f>
        <v>0</v>
      </c>
      <c r="D21" s="23" t="n">
        <f aca="false">COUNTIFS('Por Fragrância'!$A$5:$A$192,$A21,'Por Fragrância'!$D$5:$D$192,"Transparente",'Por Fragrância'!$E$5:$E$192,"6,5 x 5 cm")</f>
        <v>0</v>
      </c>
      <c r="E21" s="23" t="n">
        <f aca="false">COUNTIFS('Por Fragrância'!$A$5:$A$192,$A21,'Por Fragrância'!$D$5:$D$192,"Vinil ou Bopp",'Por Fragrância'!$E$5:$E$192,"13 x 5 cm")</f>
        <v>0</v>
      </c>
      <c r="F21" s="23" t="n">
        <f aca="false">COUNTIFS('Por Fragrância'!$A$5:$A$192,$A21,'Por Fragrância'!$D$5:$D$192,"Vinil ou Bopp",'Por Fragrância'!$E$5:$E$192,"18 x 6,5 cm")</f>
        <v>0</v>
      </c>
      <c r="G21" s="23" t="n">
        <f aca="false">COUNTIFS('Por Fragrância'!$A$5:$A$192,$A21,'Por Fragrância'!$D$5:$D$192,"Vinil ou Bopp",'Por Fragrância'!$E$5:$E$192,"22 x 8 cm")</f>
        <v>1</v>
      </c>
      <c r="H21" s="23" t="n">
        <f aca="false">COUNTIFS('Por Fragrância'!$A$5:$A$192,$A21,'Por Fragrância'!$D$5:$D$192,"Vinil ou Bopp",'Por Fragrância'!$E$5:$E$192,"28 x 10,5 cm")</f>
        <v>0</v>
      </c>
      <c r="I21" s="23" t="n">
        <f aca="false">COUNTIFS('Por Fragrância'!$A$5:$A$192,$A21,'Por Fragrância'!$D$5:$D$192,"Vinil ou Bopp",'Por Fragrância'!$E$5:$E$192,"A definir")</f>
        <v>0</v>
      </c>
      <c r="J21" s="24" t="n">
        <f aca="false">SUM(C21:I21)</f>
        <v>1</v>
      </c>
      <c r="K21" s="24" t="n">
        <f aca="false">SUMIFS('Por Fragrância'!$J$5:$J$192,'Por Fragrância'!$A$5:$A$192,$A21)</f>
        <v>27</v>
      </c>
    </row>
    <row r="22" customFormat="false" ht="15" hidden="false" customHeight="false" outlineLevel="0" collapsed="false">
      <c r="A22" s="16" t="s">
        <v>52</v>
      </c>
      <c r="B22" s="16" t="s">
        <v>30</v>
      </c>
      <c r="C22" s="23" t="n">
        <f aca="false">COUNTIFS('Por Fragrância'!$A$5:$A$192,$A22,'Por Fragrância'!$D$5:$D$192,"Transparente",'Por Fragrância'!$E$5:$E$192,"5 x 10 cm (frente e verso)")</f>
        <v>0</v>
      </c>
      <c r="D22" s="23" t="n">
        <f aca="false">COUNTIFS('Por Fragrância'!$A$5:$A$192,$A22,'Por Fragrância'!$D$5:$D$192,"Transparente",'Por Fragrância'!$E$5:$E$192,"6,5 x 5 cm")</f>
        <v>0</v>
      </c>
      <c r="E22" s="23" t="n">
        <f aca="false">COUNTIFS('Por Fragrância'!$A$5:$A$192,$A22,'Por Fragrância'!$D$5:$D$192,"Vinil ou Bopp",'Por Fragrância'!$E$5:$E$192,"13 x 5 cm")</f>
        <v>0</v>
      </c>
      <c r="F22" s="23" t="n">
        <f aca="false">COUNTIFS('Por Fragrância'!$A$5:$A$192,$A22,'Por Fragrância'!$D$5:$D$192,"Vinil ou Bopp",'Por Fragrância'!$E$5:$E$192,"18 x 6,5 cm")</f>
        <v>0</v>
      </c>
      <c r="G22" s="23" t="n">
        <f aca="false">COUNTIFS('Por Fragrância'!$A$5:$A$192,$A22,'Por Fragrância'!$D$5:$D$192,"Vinil ou Bopp",'Por Fragrância'!$E$5:$E$192,"22 x 8 cm")</f>
        <v>1</v>
      </c>
      <c r="H22" s="23" t="n">
        <f aca="false">COUNTIFS('Por Fragrância'!$A$5:$A$192,$A22,'Por Fragrância'!$D$5:$D$192,"Vinil ou Bopp",'Por Fragrância'!$E$5:$E$192,"28 x 10,5 cm")</f>
        <v>0</v>
      </c>
      <c r="I22" s="23" t="n">
        <f aca="false">COUNTIFS('Por Fragrância'!$A$5:$A$192,$A22,'Por Fragrância'!$D$5:$D$192,"Vinil ou Bopp",'Por Fragrância'!$E$5:$E$192,"A definir")</f>
        <v>0</v>
      </c>
      <c r="J22" s="24" t="n">
        <f aca="false">SUM(C22:I22)</f>
        <v>1</v>
      </c>
      <c r="K22" s="24" t="n">
        <f aca="false">SUMIFS('Por Fragrância'!$J$5:$J$192,'Por Fragrância'!$A$5:$A$192,$A22)</f>
        <v>2</v>
      </c>
    </row>
    <row r="23" customFormat="false" ht="15" hidden="false" customHeight="false" outlineLevel="0" collapsed="false">
      <c r="A23" s="16" t="s">
        <v>53</v>
      </c>
      <c r="B23" s="16" t="s">
        <v>15</v>
      </c>
      <c r="C23" s="23" t="n">
        <f aca="false">COUNTIFS('Por Fragrância'!$A$5:$A$192,$A23,'Por Fragrância'!$D$5:$D$192,"Transparente",'Por Fragrância'!$E$5:$E$192,"5 x 10 cm (frente e verso)")</f>
        <v>1</v>
      </c>
      <c r="D23" s="23" t="n">
        <f aca="false">COUNTIFS('Por Fragrância'!$A$5:$A$192,$A23,'Por Fragrância'!$D$5:$D$192,"Transparente",'Por Fragrância'!$E$5:$E$192,"6,5 x 5 cm")</f>
        <v>1</v>
      </c>
      <c r="E23" s="23" t="n">
        <f aca="false">COUNTIFS('Por Fragrância'!$A$5:$A$192,$A23,'Por Fragrância'!$D$5:$D$192,"Vinil ou Bopp",'Por Fragrância'!$E$5:$E$192,"13 x 5 cm")</f>
        <v>0</v>
      </c>
      <c r="F23" s="23" t="n">
        <f aca="false">COUNTIFS('Por Fragrância'!$A$5:$A$192,$A23,'Por Fragrância'!$D$5:$D$192,"Vinil ou Bopp",'Por Fragrância'!$E$5:$E$192,"18 x 6,5 cm")</f>
        <v>1</v>
      </c>
      <c r="G23" s="23" t="n">
        <f aca="false">COUNTIFS('Por Fragrância'!$A$5:$A$192,$A23,'Por Fragrância'!$D$5:$D$192,"Vinil ou Bopp",'Por Fragrância'!$E$5:$E$192,"22 x 8 cm")</f>
        <v>0</v>
      </c>
      <c r="H23" s="23" t="n">
        <f aca="false">COUNTIFS('Por Fragrância'!$A$5:$A$192,$A23,'Por Fragrância'!$D$5:$D$192,"Vinil ou Bopp",'Por Fragrância'!$E$5:$E$192,"28 x 10,5 cm")</f>
        <v>0</v>
      </c>
      <c r="I23" s="23" t="n">
        <f aca="false">COUNTIFS('Por Fragrância'!$A$5:$A$192,$A23,'Por Fragrância'!$D$5:$D$192,"Vinil ou Bopp",'Por Fragrância'!$E$5:$E$192,"A definir")</f>
        <v>0</v>
      </c>
      <c r="J23" s="24" t="n">
        <f aca="false">SUM(C23:I23)</f>
        <v>3</v>
      </c>
      <c r="K23" s="24" t="n">
        <f aca="false">SUMIFS('Por Fragrância'!$J$5:$J$192,'Por Fragrância'!$A$5:$A$192,$A23)</f>
        <v>248</v>
      </c>
    </row>
    <row r="24" customFormat="false" ht="15" hidden="false" customHeight="false" outlineLevel="0" collapsed="false">
      <c r="A24" s="16" t="s">
        <v>54</v>
      </c>
      <c r="B24" s="16" t="s">
        <v>30</v>
      </c>
      <c r="C24" s="23" t="n">
        <f aca="false">COUNTIFS('Por Fragrância'!$A$5:$A$192,$A24,'Por Fragrância'!$D$5:$D$192,"Transparente",'Por Fragrância'!$E$5:$E$192,"5 x 10 cm (frente e verso)")</f>
        <v>0</v>
      </c>
      <c r="D24" s="23" t="n">
        <f aca="false">COUNTIFS('Por Fragrância'!$A$5:$A$192,$A24,'Por Fragrância'!$D$5:$D$192,"Transparente",'Por Fragrância'!$E$5:$E$192,"6,5 x 5 cm")</f>
        <v>0</v>
      </c>
      <c r="E24" s="23" t="n">
        <f aca="false">COUNTIFS('Por Fragrância'!$A$5:$A$192,$A24,'Por Fragrância'!$D$5:$D$192,"Vinil ou Bopp",'Por Fragrância'!$E$5:$E$192,"13 x 5 cm")</f>
        <v>1</v>
      </c>
      <c r="F24" s="23" t="n">
        <f aca="false">COUNTIFS('Por Fragrância'!$A$5:$A$192,$A24,'Por Fragrância'!$D$5:$D$192,"Vinil ou Bopp",'Por Fragrância'!$E$5:$E$192,"18 x 6,5 cm")</f>
        <v>1</v>
      </c>
      <c r="G24" s="23" t="n">
        <f aca="false">COUNTIFS('Por Fragrância'!$A$5:$A$192,$A24,'Por Fragrância'!$D$5:$D$192,"Vinil ou Bopp",'Por Fragrância'!$E$5:$E$192,"22 x 8 cm")</f>
        <v>2</v>
      </c>
      <c r="H24" s="23" t="n">
        <f aca="false">COUNTIFS('Por Fragrância'!$A$5:$A$192,$A24,'Por Fragrância'!$D$5:$D$192,"Vinil ou Bopp",'Por Fragrância'!$E$5:$E$192,"28 x 10,5 cm")</f>
        <v>0</v>
      </c>
      <c r="I24" s="23" t="n">
        <f aca="false">COUNTIFS('Por Fragrância'!$A$5:$A$192,$A24,'Por Fragrância'!$D$5:$D$192,"Vinil ou Bopp",'Por Fragrância'!$E$5:$E$192,"A definir")</f>
        <v>1</v>
      </c>
      <c r="J24" s="24" t="n">
        <f aca="false">SUM(C24:I24)</f>
        <v>5</v>
      </c>
      <c r="K24" s="24" t="n">
        <f aca="false">SUMIFS('Por Fragrância'!$J$5:$J$192,'Por Fragrância'!$A$5:$A$192,$A24)</f>
        <v>76</v>
      </c>
    </row>
    <row r="25" customFormat="false" ht="15" hidden="false" customHeight="false" outlineLevel="0" collapsed="false">
      <c r="A25" s="16" t="s">
        <v>55</v>
      </c>
      <c r="B25" s="16" t="s">
        <v>30</v>
      </c>
      <c r="C25" s="23" t="n">
        <f aca="false">COUNTIFS('Por Fragrância'!$A$5:$A$192,$A25,'Por Fragrância'!$D$5:$D$192,"Transparente",'Por Fragrância'!$E$5:$E$192,"5 x 10 cm (frente e verso)")</f>
        <v>0</v>
      </c>
      <c r="D25" s="23" t="n">
        <f aca="false">COUNTIFS('Por Fragrância'!$A$5:$A$192,$A25,'Por Fragrância'!$D$5:$D$192,"Transparente",'Por Fragrância'!$E$5:$E$192,"6,5 x 5 cm")</f>
        <v>0</v>
      </c>
      <c r="E25" s="23" t="n">
        <f aca="false">COUNTIFS('Por Fragrância'!$A$5:$A$192,$A25,'Por Fragrância'!$D$5:$D$192,"Vinil ou Bopp",'Por Fragrância'!$E$5:$E$192,"13 x 5 cm")</f>
        <v>0</v>
      </c>
      <c r="F25" s="23" t="n">
        <f aca="false">COUNTIFS('Por Fragrância'!$A$5:$A$192,$A25,'Por Fragrância'!$D$5:$D$192,"Vinil ou Bopp",'Por Fragrância'!$E$5:$E$192,"18 x 6,5 cm")</f>
        <v>0</v>
      </c>
      <c r="G25" s="23" t="n">
        <f aca="false">COUNTIFS('Por Fragrância'!$A$5:$A$192,$A25,'Por Fragrância'!$D$5:$D$192,"Vinil ou Bopp",'Por Fragrância'!$E$5:$E$192,"22 x 8 cm")</f>
        <v>1</v>
      </c>
      <c r="H25" s="23" t="n">
        <f aca="false">COUNTIFS('Por Fragrância'!$A$5:$A$192,$A25,'Por Fragrância'!$D$5:$D$192,"Vinil ou Bopp",'Por Fragrância'!$E$5:$E$192,"28 x 10,5 cm")</f>
        <v>0</v>
      </c>
      <c r="I25" s="23" t="n">
        <f aca="false">COUNTIFS('Por Fragrância'!$A$5:$A$192,$A25,'Por Fragrância'!$D$5:$D$192,"Vinil ou Bopp",'Por Fragrância'!$E$5:$E$192,"A definir")</f>
        <v>0</v>
      </c>
      <c r="J25" s="24" t="n">
        <f aca="false">SUM(C25:I25)</f>
        <v>1</v>
      </c>
      <c r="K25" s="24" t="n">
        <f aca="false">SUMIFS('Por Fragrância'!$J$5:$J$192,'Por Fragrância'!$A$5:$A$192,$A25)</f>
        <v>36</v>
      </c>
    </row>
    <row r="26" customFormat="false" ht="15" hidden="false" customHeight="false" outlineLevel="0" collapsed="false">
      <c r="A26" s="16" t="s">
        <v>56</v>
      </c>
      <c r="B26" s="16" t="s">
        <v>30</v>
      </c>
      <c r="C26" s="23" t="n">
        <f aca="false">COUNTIFS('Por Fragrância'!$A$5:$A$192,$A26,'Por Fragrância'!$D$5:$D$192,"Transparente",'Por Fragrância'!$E$5:$E$192,"5 x 10 cm (frente e verso)")</f>
        <v>0</v>
      </c>
      <c r="D26" s="23" t="n">
        <f aca="false">COUNTIFS('Por Fragrância'!$A$5:$A$192,$A26,'Por Fragrância'!$D$5:$D$192,"Transparente",'Por Fragrância'!$E$5:$E$192,"6,5 x 5 cm")</f>
        <v>0</v>
      </c>
      <c r="E26" s="23" t="n">
        <f aca="false">COUNTIFS('Por Fragrância'!$A$5:$A$192,$A26,'Por Fragrância'!$D$5:$D$192,"Vinil ou Bopp",'Por Fragrância'!$E$5:$E$192,"13 x 5 cm")</f>
        <v>1</v>
      </c>
      <c r="F26" s="23" t="n">
        <f aca="false">COUNTIFS('Por Fragrância'!$A$5:$A$192,$A26,'Por Fragrância'!$D$5:$D$192,"Vinil ou Bopp",'Por Fragrância'!$E$5:$E$192,"18 x 6,5 cm")</f>
        <v>2</v>
      </c>
      <c r="G26" s="23" t="n">
        <f aca="false">COUNTIFS('Por Fragrância'!$A$5:$A$192,$A26,'Por Fragrância'!$D$5:$D$192,"Vinil ou Bopp",'Por Fragrância'!$E$5:$E$192,"22 x 8 cm")</f>
        <v>1</v>
      </c>
      <c r="H26" s="23" t="n">
        <f aca="false">COUNTIFS('Por Fragrância'!$A$5:$A$192,$A26,'Por Fragrância'!$D$5:$D$192,"Vinil ou Bopp",'Por Fragrância'!$E$5:$E$192,"28 x 10,5 cm")</f>
        <v>0</v>
      </c>
      <c r="I26" s="23" t="n">
        <f aca="false">COUNTIFS('Por Fragrância'!$A$5:$A$192,$A26,'Por Fragrância'!$D$5:$D$192,"Vinil ou Bopp",'Por Fragrância'!$E$5:$E$192,"A definir")</f>
        <v>1</v>
      </c>
      <c r="J26" s="24" t="n">
        <f aca="false">SUM(C26:I26)</f>
        <v>5</v>
      </c>
      <c r="K26" s="24" t="n">
        <f aca="false">SUMIFS('Por Fragrância'!$J$5:$J$192,'Por Fragrância'!$A$5:$A$192,$A26)</f>
        <v>145</v>
      </c>
    </row>
    <row r="27" customFormat="false" ht="15" hidden="false" customHeight="false" outlineLevel="0" collapsed="false">
      <c r="A27" s="16" t="s">
        <v>57</v>
      </c>
      <c r="B27" s="16" t="s">
        <v>30</v>
      </c>
      <c r="C27" s="23" t="n">
        <f aca="false">COUNTIFS('Por Fragrância'!$A$5:$A$192,$A27,'Por Fragrância'!$D$5:$D$192,"Transparente",'Por Fragrância'!$E$5:$E$192,"5 x 10 cm (frente e verso)")</f>
        <v>0</v>
      </c>
      <c r="D27" s="23" t="n">
        <f aca="false">COUNTIFS('Por Fragrância'!$A$5:$A$192,$A27,'Por Fragrância'!$D$5:$D$192,"Transparente",'Por Fragrância'!$E$5:$E$192,"6,5 x 5 cm")</f>
        <v>0</v>
      </c>
      <c r="E27" s="23" t="n">
        <f aca="false">COUNTIFS('Por Fragrância'!$A$5:$A$192,$A27,'Por Fragrância'!$D$5:$D$192,"Vinil ou Bopp",'Por Fragrância'!$E$5:$E$192,"13 x 5 cm")</f>
        <v>1</v>
      </c>
      <c r="F27" s="23" t="n">
        <f aca="false">COUNTIFS('Por Fragrância'!$A$5:$A$192,$A27,'Por Fragrância'!$D$5:$D$192,"Vinil ou Bopp",'Por Fragrância'!$E$5:$E$192,"18 x 6,5 cm")</f>
        <v>0</v>
      </c>
      <c r="G27" s="23" t="n">
        <f aca="false">COUNTIFS('Por Fragrância'!$A$5:$A$192,$A27,'Por Fragrância'!$D$5:$D$192,"Vinil ou Bopp",'Por Fragrância'!$E$5:$E$192,"22 x 8 cm")</f>
        <v>0</v>
      </c>
      <c r="H27" s="23" t="n">
        <f aca="false">COUNTIFS('Por Fragrância'!$A$5:$A$192,$A27,'Por Fragrância'!$D$5:$D$192,"Vinil ou Bopp",'Por Fragrância'!$E$5:$E$192,"28 x 10,5 cm")</f>
        <v>0</v>
      </c>
      <c r="I27" s="23" t="n">
        <f aca="false">COUNTIFS('Por Fragrância'!$A$5:$A$192,$A27,'Por Fragrância'!$D$5:$D$192,"Vinil ou Bopp",'Por Fragrância'!$E$5:$E$192,"A definir")</f>
        <v>0</v>
      </c>
      <c r="J27" s="24" t="n">
        <f aca="false">SUM(C27:I27)</f>
        <v>1</v>
      </c>
      <c r="K27" s="24" t="n">
        <f aca="false">SUMIFS('Por Fragrância'!$J$5:$J$192,'Por Fragrância'!$A$5:$A$192,$A27)</f>
        <v>649</v>
      </c>
    </row>
    <row r="28" customFormat="false" ht="15" hidden="false" customHeight="false" outlineLevel="0" collapsed="false">
      <c r="A28" s="16" t="s">
        <v>58</v>
      </c>
      <c r="B28" s="16" t="s">
        <v>30</v>
      </c>
      <c r="C28" s="23" t="n">
        <f aca="false">COUNTIFS('Por Fragrância'!$A$5:$A$192,$A28,'Por Fragrância'!$D$5:$D$192,"Transparente",'Por Fragrância'!$E$5:$E$192,"5 x 10 cm (frente e verso)")</f>
        <v>0</v>
      </c>
      <c r="D28" s="23" t="n">
        <f aca="false">COUNTIFS('Por Fragrância'!$A$5:$A$192,$A28,'Por Fragrância'!$D$5:$D$192,"Transparente",'Por Fragrância'!$E$5:$E$192,"6,5 x 5 cm")</f>
        <v>0</v>
      </c>
      <c r="E28" s="23" t="n">
        <f aca="false">COUNTIFS('Por Fragrância'!$A$5:$A$192,$A28,'Por Fragrância'!$D$5:$D$192,"Vinil ou Bopp",'Por Fragrância'!$E$5:$E$192,"13 x 5 cm")</f>
        <v>1</v>
      </c>
      <c r="F28" s="23" t="n">
        <f aca="false">COUNTIFS('Por Fragrância'!$A$5:$A$192,$A28,'Por Fragrância'!$D$5:$D$192,"Vinil ou Bopp",'Por Fragrância'!$E$5:$E$192,"18 x 6,5 cm")</f>
        <v>0</v>
      </c>
      <c r="G28" s="23" t="n">
        <f aca="false">COUNTIFS('Por Fragrância'!$A$5:$A$192,$A28,'Por Fragrância'!$D$5:$D$192,"Vinil ou Bopp",'Por Fragrância'!$E$5:$E$192,"22 x 8 cm")</f>
        <v>1</v>
      </c>
      <c r="H28" s="23" t="n">
        <f aca="false">COUNTIFS('Por Fragrância'!$A$5:$A$192,$A28,'Por Fragrância'!$D$5:$D$192,"Vinil ou Bopp",'Por Fragrância'!$E$5:$E$192,"28 x 10,5 cm")</f>
        <v>0</v>
      </c>
      <c r="I28" s="23" t="n">
        <f aca="false">COUNTIFS('Por Fragrância'!$A$5:$A$192,$A28,'Por Fragrância'!$D$5:$D$192,"Vinil ou Bopp",'Por Fragrância'!$E$5:$E$192,"A definir")</f>
        <v>1</v>
      </c>
      <c r="J28" s="24" t="n">
        <f aca="false">SUM(C28:I28)</f>
        <v>3</v>
      </c>
      <c r="K28" s="24" t="n">
        <f aca="false">SUMIFS('Por Fragrância'!$J$5:$J$192,'Por Fragrância'!$A$5:$A$192,$A28)</f>
        <v>108</v>
      </c>
    </row>
    <row r="29" customFormat="false" ht="15" hidden="false" customHeight="false" outlineLevel="0" collapsed="false">
      <c r="A29" s="16" t="s">
        <v>59</v>
      </c>
      <c r="B29" s="16" t="s">
        <v>30</v>
      </c>
      <c r="C29" s="23" t="n">
        <f aca="false">COUNTIFS('Por Fragrância'!$A$5:$A$192,$A29,'Por Fragrância'!$D$5:$D$192,"Transparente",'Por Fragrância'!$E$5:$E$192,"5 x 10 cm (frente e verso)")</f>
        <v>0</v>
      </c>
      <c r="D29" s="23" t="n">
        <f aca="false">COUNTIFS('Por Fragrância'!$A$5:$A$192,$A29,'Por Fragrância'!$D$5:$D$192,"Transparente",'Por Fragrância'!$E$5:$E$192,"6,5 x 5 cm")</f>
        <v>0</v>
      </c>
      <c r="E29" s="23" t="n">
        <f aca="false">COUNTIFS('Por Fragrância'!$A$5:$A$192,$A29,'Por Fragrância'!$D$5:$D$192,"Vinil ou Bopp",'Por Fragrância'!$E$5:$E$192,"13 x 5 cm")</f>
        <v>1</v>
      </c>
      <c r="F29" s="23" t="n">
        <f aca="false">COUNTIFS('Por Fragrância'!$A$5:$A$192,$A29,'Por Fragrância'!$D$5:$D$192,"Vinil ou Bopp",'Por Fragrância'!$E$5:$E$192,"18 x 6,5 cm")</f>
        <v>0</v>
      </c>
      <c r="G29" s="23" t="n">
        <f aca="false">COUNTIFS('Por Fragrância'!$A$5:$A$192,$A29,'Por Fragrância'!$D$5:$D$192,"Vinil ou Bopp",'Por Fragrância'!$E$5:$E$192,"22 x 8 cm")</f>
        <v>1</v>
      </c>
      <c r="H29" s="23" t="n">
        <f aca="false">COUNTIFS('Por Fragrância'!$A$5:$A$192,$A29,'Por Fragrância'!$D$5:$D$192,"Vinil ou Bopp",'Por Fragrância'!$E$5:$E$192,"28 x 10,5 cm")</f>
        <v>0</v>
      </c>
      <c r="I29" s="23" t="n">
        <f aca="false">COUNTIFS('Por Fragrância'!$A$5:$A$192,$A29,'Por Fragrância'!$D$5:$D$192,"Vinil ou Bopp",'Por Fragrância'!$E$5:$E$192,"A definir")</f>
        <v>0</v>
      </c>
      <c r="J29" s="24" t="n">
        <f aca="false">SUM(C29:I29)</f>
        <v>2</v>
      </c>
      <c r="K29" s="24" t="n">
        <f aca="false">SUMIFS('Por Fragrância'!$J$5:$J$192,'Por Fragrância'!$A$5:$A$192,$A29)</f>
        <v>149</v>
      </c>
    </row>
    <row r="30" customFormat="false" ht="15" hidden="false" customHeight="false" outlineLevel="0" collapsed="false">
      <c r="A30" s="16" t="s">
        <v>60</v>
      </c>
      <c r="B30" s="16" t="s">
        <v>30</v>
      </c>
      <c r="C30" s="23" t="n">
        <f aca="false">COUNTIFS('Por Fragrância'!$A$5:$A$192,$A30,'Por Fragrância'!$D$5:$D$192,"Transparente",'Por Fragrância'!$E$5:$E$192,"5 x 10 cm (frente e verso)")</f>
        <v>0</v>
      </c>
      <c r="D30" s="23" t="n">
        <f aca="false">COUNTIFS('Por Fragrância'!$A$5:$A$192,$A30,'Por Fragrância'!$D$5:$D$192,"Transparente",'Por Fragrância'!$E$5:$E$192,"6,5 x 5 cm")</f>
        <v>0</v>
      </c>
      <c r="E30" s="23" t="n">
        <f aca="false">COUNTIFS('Por Fragrância'!$A$5:$A$192,$A30,'Por Fragrância'!$D$5:$D$192,"Vinil ou Bopp",'Por Fragrância'!$E$5:$E$192,"13 x 5 cm")</f>
        <v>1</v>
      </c>
      <c r="F30" s="23" t="n">
        <f aca="false">COUNTIFS('Por Fragrância'!$A$5:$A$192,$A30,'Por Fragrância'!$D$5:$D$192,"Vinil ou Bopp",'Por Fragrância'!$E$5:$E$192,"18 x 6,5 cm")</f>
        <v>0</v>
      </c>
      <c r="G30" s="23" t="n">
        <f aca="false">COUNTIFS('Por Fragrância'!$A$5:$A$192,$A30,'Por Fragrância'!$D$5:$D$192,"Vinil ou Bopp",'Por Fragrância'!$E$5:$E$192,"22 x 8 cm")</f>
        <v>2</v>
      </c>
      <c r="H30" s="23" t="n">
        <f aca="false">COUNTIFS('Por Fragrância'!$A$5:$A$192,$A30,'Por Fragrância'!$D$5:$D$192,"Vinil ou Bopp",'Por Fragrância'!$E$5:$E$192,"28 x 10,5 cm")</f>
        <v>2</v>
      </c>
      <c r="I30" s="23" t="n">
        <f aca="false">COUNTIFS('Por Fragrância'!$A$5:$A$192,$A30,'Por Fragrância'!$D$5:$D$192,"Vinil ou Bopp",'Por Fragrância'!$E$5:$E$192,"A definir")</f>
        <v>0</v>
      </c>
      <c r="J30" s="24" t="n">
        <f aca="false">SUM(C30:I30)</f>
        <v>5</v>
      </c>
      <c r="K30" s="24" t="n">
        <f aca="false">SUMIFS('Por Fragrância'!$J$5:$J$192,'Por Fragrância'!$A$5:$A$192,$A30)</f>
        <v>342</v>
      </c>
    </row>
    <row r="31" customFormat="false" ht="15" hidden="false" customHeight="false" outlineLevel="0" collapsed="false">
      <c r="A31" s="16" t="s">
        <v>61</v>
      </c>
      <c r="B31" s="16" t="s">
        <v>30</v>
      </c>
      <c r="C31" s="23" t="n">
        <f aca="false">COUNTIFS('Por Fragrância'!$A$5:$A$192,$A31,'Por Fragrância'!$D$5:$D$192,"Transparente",'Por Fragrância'!$E$5:$E$192,"5 x 10 cm (frente e verso)")</f>
        <v>0</v>
      </c>
      <c r="D31" s="23" t="n">
        <f aca="false">COUNTIFS('Por Fragrância'!$A$5:$A$192,$A31,'Por Fragrância'!$D$5:$D$192,"Transparente",'Por Fragrância'!$E$5:$E$192,"6,5 x 5 cm")</f>
        <v>0</v>
      </c>
      <c r="E31" s="23" t="n">
        <f aca="false">COUNTIFS('Por Fragrância'!$A$5:$A$192,$A31,'Por Fragrância'!$D$5:$D$192,"Vinil ou Bopp",'Por Fragrância'!$E$5:$E$192,"13 x 5 cm")</f>
        <v>0</v>
      </c>
      <c r="F31" s="23" t="n">
        <f aca="false">COUNTIFS('Por Fragrância'!$A$5:$A$192,$A31,'Por Fragrância'!$D$5:$D$192,"Vinil ou Bopp",'Por Fragrância'!$E$5:$E$192,"18 x 6,5 cm")</f>
        <v>0</v>
      </c>
      <c r="G31" s="23" t="n">
        <f aca="false">COUNTIFS('Por Fragrância'!$A$5:$A$192,$A31,'Por Fragrância'!$D$5:$D$192,"Vinil ou Bopp",'Por Fragrância'!$E$5:$E$192,"22 x 8 cm")</f>
        <v>1</v>
      </c>
      <c r="H31" s="23" t="n">
        <f aca="false">COUNTIFS('Por Fragrância'!$A$5:$A$192,$A31,'Por Fragrância'!$D$5:$D$192,"Vinil ou Bopp",'Por Fragrância'!$E$5:$E$192,"28 x 10,5 cm")</f>
        <v>0</v>
      </c>
      <c r="I31" s="23" t="n">
        <f aca="false">COUNTIFS('Por Fragrância'!$A$5:$A$192,$A31,'Por Fragrância'!$D$5:$D$192,"Vinil ou Bopp",'Por Fragrância'!$E$5:$E$192,"A definir")</f>
        <v>0</v>
      </c>
      <c r="J31" s="24" t="n">
        <f aca="false">SUM(C31:I31)</f>
        <v>1</v>
      </c>
      <c r="K31" s="24" t="n">
        <f aca="false">SUMIFS('Por Fragrância'!$J$5:$J$192,'Por Fragrância'!$A$5:$A$192,$A31)</f>
        <v>18</v>
      </c>
    </row>
    <row r="32" customFormat="false" ht="15" hidden="false" customHeight="false" outlineLevel="0" collapsed="false">
      <c r="A32" s="16" t="s">
        <v>62</v>
      </c>
      <c r="B32" s="16" t="s">
        <v>30</v>
      </c>
      <c r="C32" s="23" t="n">
        <f aca="false">COUNTIFS('Por Fragrância'!$A$5:$A$192,$A32,'Por Fragrância'!$D$5:$D$192,"Transparente",'Por Fragrância'!$E$5:$E$192,"5 x 10 cm (frente e verso)")</f>
        <v>0</v>
      </c>
      <c r="D32" s="23" t="n">
        <f aca="false">COUNTIFS('Por Fragrância'!$A$5:$A$192,$A32,'Por Fragrância'!$D$5:$D$192,"Transparente",'Por Fragrância'!$E$5:$E$192,"6,5 x 5 cm")</f>
        <v>0</v>
      </c>
      <c r="E32" s="23" t="n">
        <f aca="false">COUNTIFS('Por Fragrância'!$A$5:$A$192,$A32,'Por Fragrância'!$D$5:$D$192,"Vinil ou Bopp",'Por Fragrância'!$E$5:$E$192,"13 x 5 cm")</f>
        <v>0</v>
      </c>
      <c r="F32" s="23" t="n">
        <f aca="false">COUNTIFS('Por Fragrância'!$A$5:$A$192,$A32,'Por Fragrância'!$D$5:$D$192,"Vinil ou Bopp",'Por Fragrância'!$E$5:$E$192,"18 x 6,5 cm")</f>
        <v>0</v>
      </c>
      <c r="G32" s="23" t="n">
        <f aca="false">COUNTIFS('Por Fragrância'!$A$5:$A$192,$A32,'Por Fragrância'!$D$5:$D$192,"Vinil ou Bopp",'Por Fragrância'!$E$5:$E$192,"22 x 8 cm")</f>
        <v>2</v>
      </c>
      <c r="H32" s="23" t="n">
        <f aca="false">COUNTIFS('Por Fragrância'!$A$5:$A$192,$A32,'Por Fragrância'!$D$5:$D$192,"Vinil ou Bopp",'Por Fragrância'!$E$5:$E$192,"28 x 10,5 cm")</f>
        <v>1</v>
      </c>
      <c r="I32" s="23" t="n">
        <f aca="false">COUNTIFS('Por Fragrância'!$A$5:$A$192,$A32,'Por Fragrância'!$D$5:$D$192,"Vinil ou Bopp",'Por Fragrância'!$E$5:$E$192,"A definir")</f>
        <v>0</v>
      </c>
      <c r="J32" s="24" t="n">
        <f aca="false">SUM(C32:I32)</f>
        <v>3</v>
      </c>
      <c r="K32" s="24" t="n">
        <f aca="false">SUMIFS('Por Fragrância'!$J$5:$J$192,'Por Fragrância'!$A$5:$A$192,$A32)</f>
        <v>31</v>
      </c>
    </row>
    <row r="33" customFormat="false" ht="15" hidden="false" customHeight="false" outlineLevel="0" collapsed="false">
      <c r="A33" s="16" t="s">
        <v>63</v>
      </c>
      <c r="B33" s="16" t="s">
        <v>30</v>
      </c>
      <c r="C33" s="23" t="n">
        <f aca="false">COUNTIFS('Por Fragrância'!$A$5:$A$192,$A33,'Por Fragrância'!$D$5:$D$192,"Transparente",'Por Fragrância'!$E$5:$E$192,"5 x 10 cm (frente e verso)")</f>
        <v>0</v>
      </c>
      <c r="D33" s="23" t="n">
        <f aca="false">COUNTIFS('Por Fragrância'!$A$5:$A$192,$A33,'Por Fragrância'!$D$5:$D$192,"Transparente",'Por Fragrância'!$E$5:$E$192,"6,5 x 5 cm")</f>
        <v>0</v>
      </c>
      <c r="E33" s="23" t="n">
        <f aca="false">COUNTIFS('Por Fragrância'!$A$5:$A$192,$A33,'Por Fragrância'!$D$5:$D$192,"Vinil ou Bopp",'Por Fragrância'!$E$5:$E$192,"13 x 5 cm")</f>
        <v>1</v>
      </c>
      <c r="F33" s="23" t="n">
        <f aca="false">COUNTIFS('Por Fragrância'!$A$5:$A$192,$A33,'Por Fragrância'!$D$5:$D$192,"Vinil ou Bopp",'Por Fragrância'!$E$5:$E$192,"18 x 6,5 cm")</f>
        <v>0</v>
      </c>
      <c r="G33" s="23" t="n">
        <f aca="false">COUNTIFS('Por Fragrância'!$A$5:$A$192,$A33,'Por Fragrância'!$D$5:$D$192,"Vinil ou Bopp",'Por Fragrância'!$E$5:$E$192,"22 x 8 cm")</f>
        <v>1</v>
      </c>
      <c r="H33" s="23" t="n">
        <f aca="false">COUNTIFS('Por Fragrância'!$A$5:$A$192,$A33,'Por Fragrância'!$D$5:$D$192,"Vinil ou Bopp",'Por Fragrância'!$E$5:$E$192,"28 x 10,5 cm")</f>
        <v>0</v>
      </c>
      <c r="I33" s="23" t="n">
        <f aca="false">COUNTIFS('Por Fragrância'!$A$5:$A$192,$A33,'Por Fragrância'!$D$5:$D$192,"Vinil ou Bopp",'Por Fragrância'!$E$5:$E$192,"A definir")</f>
        <v>0</v>
      </c>
      <c r="J33" s="24" t="n">
        <f aca="false">SUM(C33:I33)</f>
        <v>2</v>
      </c>
      <c r="K33" s="24" t="n">
        <f aca="false">SUMIFS('Por Fragrância'!$J$5:$J$192,'Por Fragrância'!$A$5:$A$192,$A33)</f>
        <v>406</v>
      </c>
    </row>
    <row r="34" customFormat="false" ht="15" hidden="false" customHeight="false" outlineLevel="0" collapsed="false">
      <c r="A34" s="16" t="s">
        <v>64</v>
      </c>
      <c r="B34" s="16" t="s">
        <v>30</v>
      </c>
      <c r="C34" s="23" t="n">
        <f aca="false">COUNTIFS('Por Fragrância'!$A$5:$A$192,$A34,'Por Fragrância'!$D$5:$D$192,"Transparente",'Por Fragrância'!$E$5:$E$192,"5 x 10 cm (frente e verso)")</f>
        <v>0</v>
      </c>
      <c r="D34" s="23" t="n">
        <f aca="false">COUNTIFS('Por Fragrância'!$A$5:$A$192,$A34,'Por Fragrância'!$D$5:$D$192,"Transparente",'Por Fragrância'!$E$5:$E$192,"6,5 x 5 cm")</f>
        <v>0</v>
      </c>
      <c r="E34" s="23" t="n">
        <f aca="false">COUNTIFS('Por Fragrância'!$A$5:$A$192,$A34,'Por Fragrância'!$D$5:$D$192,"Vinil ou Bopp",'Por Fragrância'!$E$5:$E$192,"13 x 5 cm")</f>
        <v>1</v>
      </c>
      <c r="F34" s="23" t="n">
        <f aca="false">COUNTIFS('Por Fragrância'!$A$5:$A$192,$A34,'Por Fragrância'!$D$5:$D$192,"Vinil ou Bopp",'Por Fragrância'!$E$5:$E$192,"18 x 6,5 cm")</f>
        <v>0</v>
      </c>
      <c r="G34" s="23" t="n">
        <f aca="false">COUNTIFS('Por Fragrância'!$A$5:$A$192,$A34,'Por Fragrância'!$D$5:$D$192,"Vinil ou Bopp",'Por Fragrância'!$E$5:$E$192,"22 x 8 cm")</f>
        <v>2</v>
      </c>
      <c r="H34" s="23" t="n">
        <f aca="false">COUNTIFS('Por Fragrância'!$A$5:$A$192,$A34,'Por Fragrância'!$D$5:$D$192,"Vinil ou Bopp",'Por Fragrância'!$E$5:$E$192,"28 x 10,5 cm")</f>
        <v>1</v>
      </c>
      <c r="I34" s="23" t="n">
        <f aca="false">COUNTIFS('Por Fragrância'!$A$5:$A$192,$A34,'Por Fragrância'!$D$5:$D$192,"Vinil ou Bopp",'Por Fragrância'!$E$5:$E$192,"A definir")</f>
        <v>0</v>
      </c>
      <c r="J34" s="24" t="n">
        <f aca="false">SUM(C34:I34)</f>
        <v>4</v>
      </c>
      <c r="K34" s="24" t="n">
        <f aca="false">SUMIFS('Por Fragrância'!$J$5:$J$192,'Por Fragrância'!$A$5:$A$192,$A34)</f>
        <v>31</v>
      </c>
    </row>
    <row r="35" customFormat="false" ht="15" hidden="false" customHeight="false" outlineLevel="0" collapsed="false">
      <c r="A35" s="16" t="s">
        <v>65</v>
      </c>
      <c r="B35" s="16" t="s">
        <v>30</v>
      </c>
      <c r="C35" s="23" t="n">
        <f aca="false">COUNTIFS('Por Fragrância'!$A$5:$A$192,$A35,'Por Fragrância'!$D$5:$D$192,"Transparente",'Por Fragrância'!$E$5:$E$192,"5 x 10 cm (frente e verso)")</f>
        <v>0</v>
      </c>
      <c r="D35" s="23" t="n">
        <f aca="false">COUNTIFS('Por Fragrância'!$A$5:$A$192,$A35,'Por Fragrância'!$D$5:$D$192,"Transparente",'Por Fragrância'!$E$5:$E$192,"6,5 x 5 cm")</f>
        <v>0</v>
      </c>
      <c r="E35" s="23" t="n">
        <f aca="false">COUNTIFS('Por Fragrância'!$A$5:$A$192,$A35,'Por Fragrância'!$D$5:$D$192,"Vinil ou Bopp",'Por Fragrância'!$E$5:$E$192,"13 x 5 cm")</f>
        <v>0</v>
      </c>
      <c r="F35" s="23" t="n">
        <f aca="false">COUNTIFS('Por Fragrância'!$A$5:$A$192,$A35,'Por Fragrância'!$D$5:$D$192,"Vinil ou Bopp",'Por Fragrância'!$E$5:$E$192,"18 x 6,5 cm")</f>
        <v>0</v>
      </c>
      <c r="G35" s="23" t="n">
        <f aca="false">COUNTIFS('Por Fragrância'!$A$5:$A$192,$A35,'Por Fragrância'!$D$5:$D$192,"Vinil ou Bopp",'Por Fragrância'!$E$5:$E$192,"22 x 8 cm")</f>
        <v>1</v>
      </c>
      <c r="H35" s="23" t="n">
        <f aca="false">COUNTIFS('Por Fragrância'!$A$5:$A$192,$A35,'Por Fragrância'!$D$5:$D$192,"Vinil ou Bopp",'Por Fragrância'!$E$5:$E$192,"28 x 10,5 cm")</f>
        <v>1</v>
      </c>
      <c r="I35" s="23" t="n">
        <f aca="false">COUNTIFS('Por Fragrância'!$A$5:$A$192,$A35,'Por Fragrância'!$D$5:$D$192,"Vinil ou Bopp",'Por Fragrância'!$E$5:$E$192,"A definir")</f>
        <v>0</v>
      </c>
      <c r="J35" s="24" t="n">
        <f aca="false">SUM(C35:I35)</f>
        <v>2</v>
      </c>
      <c r="K35" s="24" t="n">
        <f aca="false">SUMIFS('Por Fragrância'!$J$5:$J$192,'Por Fragrância'!$A$5:$A$192,$A35)</f>
        <v>10</v>
      </c>
    </row>
    <row r="36" customFormat="false" ht="15" hidden="false" customHeight="false" outlineLevel="0" collapsed="false">
      <c r="A36" s="16" t="s">
        <v>66</v>
      </c>
      <c r="B36" s="16" t="s">
        <v>30</v>
      </c>
      <c r="C36" s="23" t="n">
        <f aca="false">COUNTIFS('Por Fragrância'!$A$5:$A$192,$A36,'Por Fragrância'!$D$5:$D$192,"Transparente",'Por Fragrância'!$E$5:$E$192,"5 x 10 cm (frente e verso)")</f>
        <v>0</v>
      </c>
      <c r="D36" s="23" t="n">
        <f aca="false">COUNTIFS('Por Fragrância'!$A$5:$A$192,$A36,'Por Fragrância'!$D$5:$D$192,"Transparente",'Por Fragrância'!$E$5:$E$192,"6,5 x 5 cm")</f>
        <v>0</v>
      </c>
      <c r="E36" s="23" t="n">
        <f aca="false">COUNTIFS('Por Fragrância'!$A$5:$A$192,$A36,'Por Fragrância'!$D$5:$D$192,"Vinil ou Bopp",'Por Fragrância'!$E$5:$E$192,"13 x 5 cm")</f>
        <v>0</v>
      </c>
      <c r="F36" s="23" t="n">
        <f aca="false">COUNTIFS('Por Fragrância'!$A$5:$A$192,$A36,'Por Fragrância'!$D$5:$D$192,"Vinil ou Bopp",'Por Fragrância'!$E$5:$E$192,"18 x 6,5 cm")</f>
        <v>0</v>
      </c>
      <c r="G36" s="23" t="n">
        <f aca="false">COUNTIFS('Por Fragrância'!$A$5:$A$192,$A36,'Por Fragrância'!$D$5:$D$192,"Vinil ou Bopp",'Por Fragrância'!$E$5:$E$192,"22 x 8 cm")</f>
        <v>1</v>
      </c>
      <c r="H36" s="23" t="n">
        <f aca="false">COUNTIFS('Por Fragrância'!$A$5:$A$192,$A36,'Por Fragrância'!$D$5:$D$192,"Vinil ou Bopp",'Por Fragrância'!$E$5:$E$192,"28 x 10,5 cm")</f>
        <v>1</v>
      </c>
      <c r="I36" s="23" t="n">
        <f aca="false">COUNTIFS('Por Fragrância'!$A$5:$A$192,$A36,'Por Fragrância'!$D$5:$D$192,"Vinil ou Bopp",'Por Fragrância'!$E$5:$E$192,"A definir")</f>
        <v>0</v>
      </c>
      <c r="J36" s="24" t="n">
        <f aca="false">SUM(C36:I36)</f>
        <v>2</v>
      </c>
      <c r="K36" s="24" t="n">
        <f aca="false">SUMIFS('Por Fragrância'!$J$5:$J$192,'Por Fragrância'!$A$5:$A$192,$A36)</f>
        <v>28</v>
      </c>
    </row>
    <row r="37" customFormat="false" ht="15" hidden="false" customHeight="false" outlineLevel="0" collapsed="false">
      <c r="A37" s="16" t="s">
        <v>67</v>
      </c>
      <c r="B37" s="16" t="s">
        <v>30</v>
      </c>
      <c r="C37" s="23" t="n">
        <f aca="false">COUNTIFS('Por Fragrância'!$A$5:$A$192,$A37,'Por Fragrância'!$D$5:$D$192,"Transparente",'Por Fragrância'!$E$5:$E$192,"5 x 10 cm (frente e verso)")</f>
        <v>0</v>
      </c>
      <c r="D37" s="23" t="n">
        <f aca="false">COUNTIFS('Por Fragrância'!$A$5:$A$192,$A37,'Por Fragrância'!$D$5:$D$192,"Transparente",'Por Fragrância'!$E$5:$E$192,"6,5 x 5 cm")</f>
        <v>0</v>
      </c>
      <c r="E37" s="23" t="n">
        <f aca="false">COUNTIFS('Por Fragrância'!$A$5:$A$192,$A37,'Por Fragrância'!$D$5:$D$192,"Vinil ou Bopp",'Por Fragrância'!$E$5:$E$192,"13 x 5 cm")</f>
        <v>0</v>
      </c>
      <c r="F37" s="23" t="n">
        <f aca="false">COUNTIFS('Por Fragrância'!$A$5:$A$192,$A37,'Por Fragrância'!$D$5:$D$192,"Vinil ou Bopp",'Por Fragrância'!$E$5:$E$192,"18 x 6,5 cm")</f>
        <v>0</v>
      </c>
      <c r="G37" s="23" t="n">
        <f aca="false">COUNTIFS('Por Fragrância'!$A$5:$A$192,$A37,'Por Fragrância'!$D$5:$D$192,"Vinil ou Bopp",'Por Fragrância'!$E$5:$E$192,"22 x 8 cm")</f>
        <v>2</v>
      </c>
      <c r="H37" s="23" t="n">
        <f aca="false">COUNTIFS('Por Fragrância'!$A$5:$A$192,$A37,'Por Fragrância'!$D$5:$D$192,"Vinil ou Bopp",'Por Fragrância'!$E$5:$E$192,"28 x 10,5 cm")</f>
        <v>0</v>
      </c>
      <c r="I37" s="23" t="n">
        <f aca="false">COUNTIFS('Por Fragrância'!$A$5:$A$192,$A37,'Por Fragrância'!$D$5:$D$192,"Vinil ou Bopp",'Por Fragrância'!$E$5:$E$192,"A definir")</f>
        <v>0</v>
      </c>
      <c r="J37" s="24" t="n">
        <f aca="false">SUM(C37:I37)</f>
        <v>2</v>
      </c>
      <c r="K37" s="24" t="n">
        <f aca="false">SUMIFS('Por Fragrância'!$J$5:$J$192,'Por Fragrância'!$A$5:$A$192,$A37)</f>
        <v>11</v>
      </c>
    </row>
    <row r="38" customFormat="false" ht="15" hidden="false" customHeight="false" outlineLevel="0" collapsed="false">
      <c r="A38" s="16" t="s">
        <v>68</v>
      </c>
      <c r="B38" s="16" t="s">
        <v>30</v>
      </c>
      <c r="C38" s="23" t="n">
        <f aca="false">COUNTIFS('Por Fragrância'!$A$5:$A$192,$A38,'Por Fragrância'!$D$5:$D$192,"Transparente",'Por Fragrância'!$E$5:$E$192,"5 x 10 cm (frente e verso)")</f>
        <v>0</v>
      </c>
      <c r="D38" s="23" t="n">
        <f aca="false">COUNTIFS('Por Fragrância'!$A$5:$A$192,$A38,'Por Fragrância'!$D$5:$D$192,"Transparente",'Por Fragrância'!$E$5:$E$192,"6,5 x 5 cm")</f>
        <v>0</v>
      </c>
      <c r="E38" s="23" t="n">
        <f aca="false">COUNTIFS('Por Fragrância'!$A$5:$A$192,$A38,'Por Fragrância'!$D$5:$D$192,"Vinil ou Bopp",'Por Fragrância'!$E$5:$E$192,"13 x 5 cm")</f>
        <v>0</v>
      </c>
      <c r="F38" s="23" t="n">
        <f aca="false">COUNTIFS('Por Fragrância'!$A$5:$A$192,$A38,'Por Fragrância'!$D$5:$D$192,"Vinil ou Bopp",'Por Fragrância'!$E$5:$E$192,"18 x 6,5 cm")</f>
        <v>1</v>
      </c>
      <c r="G38" s="23" t="n">
        <f aca="false">COUNTIFS('Por Fragrância'!$A$5:$A$192,$A38,'Por Fragrância'!$D$5:$D$192,"Vinil ou Bopp",'Por Fragrância'!$E$5:$E$192,"22 x 8 cm")</f>
        <v>0</v>
      </c>
      <c r="H38" s="23" t="n">
        <f aca="false">COUNTIFS('Por Fragrância'!$A$5:$A$192,$A38,'Por Fragrância'!$D$5:$D$192,"Vinil ou Bopp",'Por Fragrância'!$E$5:$E$192,"28 x 10,5 cm")</f>
        <v>0</v>
      </c>
      <c r="I38" s="23" t="n">
        <f aca="false">COUNTIFS('Por Fragrância'!$A$5:$A$192,$A38,'Por Fragrância'!$D$5:$D$192,"Vinil ou Bopp",'Por Fragrância'!$E$5:$E$192,"A definir")</f>
        <v>0</v>
      </c>
      <c r="J38" s="24" t="n">
        <f aca="false">SUM(C38:I38)</f>
        <v>1</v>
      </c>
      <c r="K38" s="24" t="n">
        <f aca="false">SUMIFS('Por Fragrância'!$J$5:$J$192,'Por Fragrância'!$A$5:$A$192,$A38)</f>
        <v>9</v>
      </c>
    </row>
    <row r="39" customFormat="false" ht="15" hidden="false" customHeight="false" outlineLevel="0" collapsed="false">
      <c r="A39" s="16" t="s">
        <v>69</v>
      </c>
      <c r="B39" s="16" t="s">
        <v>192</v>
      </c>
      <c r="C39" s="23" t="n">
        <f aca="false">COUNTIFS('Por Fragrância'!$A$5:$A$192,$A39,'Por Fragrância'!$D$5:$D$192,"Transparente",'Por Fragrância'!$E$5:$E$192,"5 x 10 cm (frente e verso)")</f>
        <v>1</v>
      </c>
      <c r="D39" s="23" t="n">
        <f aca="false">COUNTIFS('Por Fragrância'!$A$5:$A$192,$A39,'Por Fragrância'!$D$5:$D$192,"Transparente",'Por Fragrância'!$E$5:$E$192,"6,5 x 5 cm")</f>
        <v>2</v>
      </c>
      <c r="E39" s="23" t="n">
        <f aca="false">COUNTIFS('Por Fragrância'!$A$5:$A$192,$A39,'Por Fragrância'!$D$5:$D$192,"Vinil ou Bopp",'Por Fragrância'!$E$5:$E$192,"13 x 5 cm")</f>
        <v>2</v>
      </c>
      <c r="F39" s="23" t="n">
        <f aca="false">COUNTIFS('Por Fragrância'!$A$5:$A$192,$A39,'Por Fragrância'!$D$5:$D$192,"Vinil ou Bopp",'Por Fragrância'!$E$5:$E$192,"18 x 6,5 cm")</f>
        <v>2</v>
      </c>
      <c r="G39" s="23" t="n">
        <f aca="false">COUNTIFS('Por Fragrância'!$A$5:$A$192,$A39,'Por Fragrância'!$D$5:$D$192,"Vinil ou Bopp",'Por Fragrância'!$E$5:$E$192,"22 x 8 cm")</f>
        <v>1</v>
      </c>
      <c r="H39" s="23" t="n">
        <f aca="false">COUNTIFS('Por Fragrância'!$A$5:$A$192,$A39,'Por Fragrância'!$D$5:$D$192,"Vinil ou Bopp",'Por Fragrância'!$E$5:$E$192,"28 x 10,5 cm")</f>
        <v>0</v>
      </c>
      <c r="I39" s="23" t="n">
        <f aca="false">COUNTIFS('Por Fragrância'!$A$5:$A$192,$A39,'Por Fragrância'!$D$5:$D$192,"Vinil ou Bopp",'Por Fragrância'!$E$5:$E$192,"A definir")</f>
        <v>0</v>
      </c>
      <c r="J39" s="24" t="n">
        <f aca="false">SUM(C39:I39)</f>
        <v>8</v>
      </c>
      <c r="K39" s="24" t="n">
        <f aca="false">SUMIFS('Por Fragrância'!$J$5:$J$192,'Por Fragrância'!$A$5:$A$192,$A39)</f>
        <v>268</v>
      </c>
    </row>
    <row r="40" customFormat="false" ht="15" hidden="false" customHeight="false" outlineLevel="0" collapsed="false">
      <c r="A40" s="16" t="s">
        <v>70</v>
      </c>
      <c r="B40" s="16" t="s">
        <v>15</v>
      </c>
      <c r="C40" s="23" t="n">
        <f aca="false">COUNTIFS('Por Fragrância'!$A$5:$A$192,$A40,'Por Fragrância'!$D$5:$D$192,"Transparente",'Por Fragrância'!$E$5:$E$192,"5 x 10 cm (frente e verso)")</f>
        <v>1</v>
      </c>
      <c r="D40" s="23" t="n">
        <f aca="false">COUNTIFS('Por Fragrância'!$A$5:$A$192,$A40,'Por Fragrância'!$D$5:$D$192,"Transparente",'Por Fragrância'!$E$5:$E$192,"6,5 x 5 cm")</f>
        <v>1</v>
      </c>
      <c r="E40" s="23" t="n">
        <f aca="false">COUNTIFS('Por Fragrância'!$A$5:$A$192,$A40,'Por Fragrância'!$D$5:$D$192,"Vinil ou Bopp",'Por Fragrância'!$E$5:$E$192,"13 x 5 cm")</f>
        <v>0</v>
      </c>
      <c r="F40" s="23" t="n">
        <f aca="false">COUNTIFS('Por Fragrância'!$A$5:$A$192,$A40,'Por Fragrância'!$D$5:$D$192,"Vinil ou Bopp",'Por Fragrância'!$E$5:$E$192,"18 x 6,5 cm")</f>
        <v>1</v>
      </c>
      <c r="G40" s="23" t="n">
        <f aca="false">COUNTIFS('Por Fragrância'!$A$5:$A$192,$A40,'Por Fragrância'!$D$5:$D$192,"Vinil ou Bopp",'Por Fragrância'!$E$5:$E$192,"22 x 8 cm")</f>
        <v>0</v>
      </c>
      <c r="H40" s="23" t="n">
        <f aca="false">COUNTIFS('Por Fragrância'!$A$5:$A$192,$A40,'Por Fragrância'!$D$5:$D$192,"Vinil ou Bopp",'Por Fragrância'!$E$5:$E$192,"28 x 10,5 cm")</f>
        <v>0</v>
      </c>
      <c r="I40" s="23" t="n">
        <f aca="false">COUNTIFS('Por Fragrância'!$A$5:$A$192,$A40,'Por Fragrância'!$D$5:$D$192,"Vinil ou Bopp",'Por Fragrância'!$E$5:$E$192,"A definir")</f>
        <v>0</v>
      </c>
      <c r="J40" s="24" t="n">
        <f aca="false">SUM(C40:I40)</f>
        <v>3</v>
      </c>
      <c r="K40" s="24" t="n">
        <f aca="false">SUMIFS('Por Fragrância'!$J$5:$J$192,'Por Fragrância'!$A$5:$A$192,$A40)</f>
        <v>248</v>
      </c>
    </row>
    <row r="41" customFormat="false" ht="15" hidden="false" customHeight="false" outlineLevel="0" collapsed="false">
      <c r="A41" s="16" t="s">
        <v>71</v>
      </c>
      <c r="B41" s="16" t="s">
        <v>30</v>
      </c>
      <c r="C41" s="23" t="n">
        <f aca="false">COUNTIFS('Por Fragrância'!$A$5:$A$192,$A41,'Por Fragrância'!$D$5:$D$192,"Transparente",'Por Fragrância'!$E$5:$E$192,"5 x 10 cm (frente e verso)")</f>
        <v>0</v>
      </c>
      <c r="D41" s="23" t="n">
        <f aca="false">COUNTIFS('Por Fragrância'!$A$5:$A$192,$A41,'Por Fragrância'!$D$5:$D$192,"Transparente",'Por Fragrância'!$E$5:$E$192,"6,5 x 5 cm")</f>
        <v>0</v>
      </c>
      <c r="E41" s="23" t="n">
        <f aca="false">COUNTIFS('Por Fragrância'!$A$5:$A$192,$A41,'Por Fragrância'!$D$5:$D$192,"Vinil ou Bopp",'Por Fragrância'!$E$5:$E$192,"13 x 5 cm")</f>
        <v>0</v>
      </c>
      <c r="F41" s="23" t="n">
        <f aca="false">COUNTIFS('Por Fragrância'!$A$5:$A$192,$A41,'Por Fragrância'!$D$5:$D$192,"Vinil ou Bopp",'Por Fragrância'!$E$5:$E$192,"18 x 6,5 cm")</f>
        <v>0</v>
      </c>
      <c r="G41" s="23" t="n">
        <f aca="false">COUNTIFS('Por Fragrância'!$A$5:$A$192,$A41,'Por Fragrância'!$D$5:$D$192,"Vinil ou Bopp",'Por Fragrância'!$E$5:$E$192,"22 x 8 cm")</f>
        <v>1</v>
      </c>
      <c r="H41" s="23" t="n">
        <f aca="false">COUNTIFS('Por Fragrância'!$A$5:$A$192,$A41,'Por Fragrância'!$D$5:$D$192,"Vinil ou Bopp",'Por Fragrância'!$E$5:$E$192,"28 x 10,5 cm")</f>
        <v>0</v>
      </c>
      <c r="I41" s="23" t="n">
        <f aca="false">COUNTIFS('Por Fragrância'!$A$5:$A$192,$A41,'Por Fragrância'!$D$5:$D$192,"Vinil ou Bopp",'Por Fragrância'!$E$5:$E$192,"A definir")</f>
        <v>0</v>
      </c>
      <c r="J41" s="24" t="n">
        <f aca="false">SUM(C41:I41)</f>
        <v>1</v>
      </c>
      <c r="K41" s="24" t="n">
        <f aca="false">SUMIFS('Por Fragrância'!$J$5:$J$192,'Por Fragrância'!$A$5:$A$192,$A41)</f>
        <v>9</v>
      </c>
    </row>
    <row r="42" customFormat="false" ht="15" hidden="false" customHeight="false" outlineLevel="0" collapsed="false">
      <c r="A42" s="16" t="s">
        <v>72</v>
      </c>
      <c r="B42" s="16" t="s">
        <v>30</v>
      </c>
      <c r="C42" s="23" t="n">
        <f aca="false">COUNTIFS('Por Fragrância'!$A$5:$A$192,$A42,'Por Fragrância'!$D$5:$D$192,"Transparente",'Por Fragrância'!$E$5:$E$192,"5 x 10 cm (frente e verso)")</f>
        <v>0</v>
      </c>
      <c r="D42" s="23" t="n">
        <f aca="false">COUNTIFS('Por Fragrância'!$A$5:$A$192,$A42,'Por Fragrância'!$D$5:$D$192,"Transparente",'Por Fragrância'!$E$5:$E$192,"6,5 x 5 cm")</f>
        <v>0</v>
      </c>
      <c r="E42" s="23" t="n">
        <f aca="false">COUNTIFS('Por Fragrância'!$A$5:$A$192,$A42,'Por Fragrância'!$D$5:$D$192,"Vinil ou Bopp",'Por Fragrância'!$E$5:$E$192,"13 x 5 cm")</f>
        <v>1</v>
      </c>
      <c r="F42" s="23" t="n">
        <f aca="false">COUNTIFS('Por Fragrância'!$A$5:$A$192,$A42,'Por Fragrância'!$D$5:$D$192,"Vinil ou Bopp",'Por Fragrância'!$E$5:$E$192,"18 x 6,5 cm")</f>
        <v>1</v>
      </c>
      <c r="G42" s="23" t="n">
        <f aca="false">COUNTIFS('Por Fragrância'!$A$5:$A$192,$A42,'Por Fragrância'!$D$5:$D$192,"Vinil ou Bopp",'Por Fragrância'!$E$5:$E$192,"22 x 8 cm")</f>
        <v>2</v>
      </c>
      <c r="H42" s="23" t="n">
        <f aca="false">COUNTIFS('Por Fragrância'!$A$5:$A$192,$A42,'Por Fragrância'!$D$5:$D$192,"Vinil ou Bopp",'Por Fragrância'!$E$5:$E$192,"28 x 10,5 cm")</f>
        <v>1</v>
      </c>
      <c r="I42" s="23" t="n">
        <f aca="false">COUNTIFS('Por Fragrância'!$A$5:$A$192,$A42,'Por Fragrância'!$D$5:$D$192,"Vinil ou Bopp",'Por Fragrância'!$E$5:$E$192,"A definir")</f>
        <v>0</v>
      </c>
      <c r="J42" s="24" t="n">
        <f aca="false">SUM(C42:I42)</f>
        <v>5</v>
      </c>
      <c r="K42" s="24" t="n">
        <f aca="false">SUMIFS('Por Fragrância'!$J$5:$J$192,'Por Fragrância'!$A$5:$A$192,$A42)</f>
        <v>61</v>
      </c>
    </row>
    <row r="43" customFormat="false" ht="15" hidden="false" customHeight="false" outlineLevel="0" collapsed="false">
      <c r="A43" s="16" t="s">
        <v>73</v>
      </c>
      <c r="B43" s="16" t="s">
        <v>15</v>
      </c>
      <c r="C43" s="23" t="n">
        <f aca="false">COUNTIFS('Por Fragrância'!$A$5:$A$192,$A43,'Por Fragrância'!$D$5:$D$192,"Transparente",'Por Fragrância'!$E$5:$E$192,"5 x 10 cm (frente e verso)")</f>
        <v>1</v>
      </c>
      <c r="D43" s="23" t="n">
        <f aca="false">COUNTIFS('Por Fragrância'!$A$5:$A$192,$A43,'Por Fragrância'!$D$5:$D$192,"Transparente",'Por Fragrância'!$E$5:$E$192,"6,5 x 5 cm")</f>
        <v>2</v>
      </c>
      <c r="E43" s="23" t="n">
        <f aca="false">COUNTIFS('Por Fragrância'!$A$5:$A$192,$A43,'Por Fragrância'!$D$5:$D$192,"Vinil ou Bopp",'Por Fragrância'!$E$5:$E$192,"13 x 5 cm")</f>
        <v>1</v>
      </c>
      <c r="F43" s="23" t="n">
        <f aca="false">COUNTIFS('Por Fragrância'!$A$5:$A$192,$A43,'Por Fragrância'!$D$5:$D$192,"Vinil ou Bopp",'Por Fragrância'!$E$5:$E$192,"18 x 6,5 cm")</f>
        <v>1</v>
      </c>
      <c r="G43" s="23" t="n">
        <f aca="false">COUNTIFS('Por Fragrância'!$A$5:$A$192,$A43,'Por Fragrância'!$D$5:$D$192,"Vinil ou Bopp",'Por Fragrância'!$E$5:$E$192,"22 x 8 cm")</f>
        <v>1</v>
      </c>
      <c r="H43" s="23" t="n">
        <f aca="false">COUNTIFS('Por Fragrância'!$A$5:$A$192,$A43,'Por Fragrância'!$D$5:$D$192,"Vinil ou Bopp",'Por Fragrância'!$E$5:$E$192,"28 x 10,5 cm")</f>
        <v>0</v>
      </c>
      <c r="I43" s="23" t="n">
        <f aca="false">COUNTIFS('Por Fragrância'!$A$5:$A$192,$A43,'Por Fragrância'!$D$5:$D$192,"Vinil ou Bopp",'Por Fragrância'!$E$5:$E$192,"A definir")</f>
        <v>0</v>
      </c>
      <c r="J43" s="24" t="n">
        <f aca="false">SUM(C43:I43)</f>
        <v>6</v>
      </c>
      <c r="K43" s="24" t="n">
        <f aca="false">SUMIFS('Por Fragrância'!$J$5:$J$192,'Por Fragrância'!$A$5:$A$192,$A43)</f>
        <v>258</v>
      </c>
    </row>
    <row r="44" customFormat="false" ht="15" hidden="false" customHeight="false" outlineLevel="0" collapsed="false">
      <c r="A44" s="16" t="s">
        <v>74</v>
      </c>
      <c r="B44" s="16" t="s">
        <v>30</v>
      </c>
      <c r="C44" s="23" t="n">
        <f aca="false">COUNTIFS('Por Fragrância'!$A$5:$A$192,$A44,'Por Fragrância'!$D$5:$D$192,"Transparente",'Por Fragrância'!$E$5:$E$192,"5 x 10 cm (frente e verso)")</f>
        <v>0</v>
      </c>
      <c r="D44" s="23" t="n">
        <f aca="false">COUNTIFS('Por Fragrância'!$A$5:$A$192,$A44,'Por Fragrância'!$D$5:$D$192,"Transparente",'Por Fragrância'!$E$5:$E$192,"6,5 x 5 cm")</f>
        <v>0</v>
      </c>
      <c r="E44" s="23" t="n">
        <f aca="false">COUNTIFS('Por Fragrância'!$A$5:$A$192,$A44,'Por Fragrância'!$D$5:$D$192,"Vinil ou Bopp",'Por Fragrância'!$E$5:$E$192,"13 x 5 cm")</f>
        <v>1</v>
      </c>
      <c r="F44" s="23" t="n">
        <f aca="false">COUNTIFS('Por Fragrância'!$A$5:$A$192,$A44,'Por Fragrância'!$D$5:$D$192,"Vinil ou Bopp",'Por Fragrância'!$E$5:$E$192,"18 x 6,5 cm")</f>
        <v>2</v>
      </c>
      <c r="G44" s="23" t="n">
        <f aca="false">COUNTIFS('Por Fragrância'!$A$5:$A$192,$A44,'Por Fragrância'!$D$5:$D$192,"Vinil ou Bopp",'Por Fragrância'!$E$5:$E$192,"22 x 8 cm")</f>
        <v>2</v>
      </c>
      <c r="H44" s="23" t="n">
        <f aca="false">COUNTIFS('Por Fragrância'!$A$5:$A$192,$A44,'Por Fragrância'!$D$5:$D$192,"Vinil ou Bopp",'Por Fragrância'!$E$5:$E$192,"28 x 10,5 cm")</f>
        <v>0</v>
      </c>
      <c r="I44" s="23" t="n">
        <f aca="false">COUNTIFS('Por Fragrância'!$A$5:$A$192,$A44,'Por Fragrância'!$D$5:$D$192,"Vinil ou Bopp",'Por Fragrância'!$E$5:$E$192,"A definir")</f>
        <v>1</v>
      </c>
      <c r="J44" s="24" t="n">
        <f aca="false">SUM(C44:I44)</f>
        <v>6</v>
      </c>
      <c r="K44" s="24" t="n">
        <f aca="false">SUMIFS('Por Fragrância'!$J$5:$J$192,'Por Fragrância'!$A$5:$A$192,$A44)</f>
        <v>158</v>
      </c>
    </row>
    <row r="45" customFormat="false" ht="15" hidden="false" customHeight="false" outlineLevel="0" collapsed="false">
      <c r="A45" s="16" t="s">
        <v>75</v>
      </c>
      <c r="B45" s="16" t="s">
        <v>15</v>
      </c>
      <c r="C45" s="23" t="n">
        <f aca="false">COUNTIFS('Por Fragrância'!$A$5:$A$192,$A45,'Por Fragrância'!$D$5:$D$192,"Transparente",'Por Fragrância'!$E$5:$E$192,"5 x 10 cm (frente e verso)")</f>
        <v>0</v>
      </c>
      <c r="D45" s="23" t="n">
        <f aca="false">COUNTIFS('Por Fragrância'!$A$5:$A$192,$A45,'Por Fragrância'!$D$5:$D$192,"Transparente",'Por Fragrância'!$E$5:$E$192,"6,5 x 5 cm")</f>
        <v>0</v>
      </c>
      <c r="E45" s="23" t="n">
        <f aca="false">COUNTIFS('Por Fragrância'!$A$5:$A$192,$A45,'Por Fragrância'!$D$5:$D$192,"Vinil ou Bopp",'Por Fragrância'!$E$5:$E$192,"13 x 5 cm")</f>
        <v>1</v>
      </c>
      <c r="F45" s="23" t="n">
        <f aca="false">COUNTIFS('Por Fragrância'!$A$5:$A$192,$A45,'Por Fragrância'!$D$5:$D$192,"Vinil ou Bopp",'Por Fragrância'!$E$5:$E$192,"18 x 6,5 cm")</f>
        <v>0</v>
      </c>
      <c r="G45" s="23" t="n">
        <f aca="false">COUNTIFS('Por Fragrância'!$A$5:$A$192,$A45,'Por Fragrância'!$D$5:$D$192,"Vinil ou Bopp",'Por Fragrância'!$E$5:$E$192,"22 x 8 cm")</f>
        <v>0</v>
      </c>
      <c r="H45" s="23" t="n">
        <f aca="false">COUNTIFS('Por Fragrância'!$A$5:$A$192,$A45,'Por Fragrância'!$D$5:$D$192,"Vinil ou Bopp",'Por Fragrância'!$E$5:$E$192,"28 x 10,5 cm")</f>
        <v>0</v>
      </c>
      <c r="I45" s="23" t="n">
        <f aca="false">COUNTIFS('Por Fragrância'!$A$5:$A$192,$A45,'Por Fragrância'!$D$5:$D$192,"Vinil ou Bopp",'Por Fragrância'!$E$5:$E$192,"A definir")</f>
        <v>0</v>
      </c>
      <c r="J45" s="24" t="n">
        <f aca="false">SUM(C45:I45)</f>
        <v>1</v>
      </c>
      <c r="K45" s="24" t="n">
        <f aca="false">SUMIFS('Por Fragrância'!$J$5:$J$192,'Por Fragrância'!$A$5:$A$192,$A45)</f>
        <v>150</v>
      </c>
    </row>
    <row r="46" customFormat="false" ht="15" hidden="false" customHeight="false" outlineLevel="0" collapsed="false">
      <c r="A46" s="16" t="s">
        <v>77</v>
      </c>
      <c r="B46" s="16" t="s">
        <v>30</v>
      </c>
      <c r="C46" s="23" t="n">
        <f aca="false">COUNTIFS('Por Fragrância'!$A$5:$A$192,$A46,'Por Fragrância'!$D$5:$D$192,"Transparente",'Por Fragrância'!$E$5:$E$192,"5 x 10 cm (frente e verso)")</f>
        <v>0</v>
      </c>
      <c r="D46" s="23" t="n">
        <f aca="false">COUNTIFS('Por Fragrância'!$A$5:$A$192,$A46,'Por Fragrância'!$D$5:$D$192,"Transparente",'Por Fragrância'!$E$5:$E$192,"6,5 x 5 cm")</f>
        <v>0</v>
      </c>
      <c r="E46" s="23" t="n">
        <f aca="false">COUNTIFS('Por Fragrância'!$A$5:$A$192,$A46,'Por Fragrância'!$D$5:$D$192,"Vinil ou Bopp",'Por Fragrância'!$E$5:$E$192,"13 x 5 cm")</f>
        <v>0</v>
      </c>
      <c r="F46" s="23" t="n">
        <f aca="false">COUNTIFS('Por Fragrância'!$A$5:$A$192,$A46,'Por Fragrância'!$D$5:$D$192,"Vinil ou Bopp",'Por Fragrância'!$E$5:$E$192,"18 x 6,5 cm")</f>
        <v>0</v>
      </c>
      <c r="G46" s="23" t="n">
        <f aca="false">COUNTIFS('Por Fragrância'!$A$5:$A$192,$A46,'Por Fragrância'!$D$5:$D$192,"Vinil ou Bopp",'Por Fragrância'!$E$5:$E$192,"22 x 8 cm")</f>
        <v>0</v>
      </c>
      <c r="H46" s="23" t="n">
        <f aca="false">COUNTIFS('Por Fragrância'!$A$5:$A$192,$A46,'Por Fragrância'!$D$5:$D$192,"Vinil ou Bopp",'Por Fragrância'!$E$5:$E$192,"28 x 10,5 cm")</f>
        <v>1</v>
      </c>
      <c r="I46" s="23" t="n">
        <f aca="false">COUNTIFS('Por Fragrância'!$A$5:$A$192,$A46,'Por Fragrância'!$D$5:$D$192,"Vinil ou Bopp",'Por Fragrância'!$E$5:$E$192,"A definir")</f>
        <v>0</v>
      </c>
      <c r="J46" s="24" t="n">
        <f aca="false">SUM(C46:I46)</f>
        <v>1</v>
      </c>
      <c r="K46" s="24" t="n">
        <f aca="false">SUMIFS('Por Fragrância'!$J$5:$J$192,'Por Fragrância'!$A$5:$A$192,$A46)</f>
        <v>9</v>
      </c>
    </row>
    <row r="47" customFormat="false" ht="15" hidden="false" customHeight="false" outlineLevel="0" collapsed="false">
      <c r="A47" s="16" t="s">
        <v>78</v>
      </c>
      <c r="B47" s="16" t="s">
        <v>15</v>
      </c>
      <c r="C47" s="23" t="n">
        <f aca="false">COUNTIFS('Por Fragrância'!$A$5:$A$192,$A47,'Por Fragrância'!$D$5:$D$192,"Transparente",'Por Fragrância'!$E$5:$E$192,"5 x 10 cm (frente e verso)")</f>
        <v>1</v>
      </c>
      <c r="D47" s="23" t="n">
        <f aca="false">COUNTIFS('Por Fragrância'!$A$5:$A$192,$A47,'Por Fragrância'!$D$5:$D$192,"Transparente",'Por Fragrância'!$E$5:$E$192,"6,5 x 5 cm")</f>
        <v>1</v>
      </c>
      <c r="E47" s="23" t="n">
        <f aca="false">COUNTIFS('Por Fragrância'!$A$5:$A$192,$A47,'Por Fragrância'!$D$5:$D$192,"Vinil ou Bopp",'Por Fragrância'!$E$5:$E$192,"13 x 5 cm")</f>
        <v>0</v>
      </c>
      <c r="F47" s="23" t="n">
        <f aca="false">COUNTIFS('Por Fragrância'!$A$5:$A$192,$A47,'Por Fragrância'!$D$5:$D$192,"Vinil ou Bopp",'Por Fragrância'!$E$5:$E$192,"18 x 6,5 cm")</f>
        <v>1</v>
      </c>
      <c r="G47" s="23" t="n">
        <f aca="false">COUNTIFS('Por Fragrância'!$A$5:$A$192,$A47,'Por Fragrância'!$D$5:$D$192,"Vinil ou Bopp",'Por Fragrância'!$E$5:$E$192,"22 x 8 cm")</f>
        <v>0</v>
      </c>
      <c r="H47" s="23" t="n">
        <f aca="false">COUNTIFS('Por Fragrância'!$A$5:$A$192,$A47,'Por Fragrância'!$D$5:$D$192,"Vinil ou Bopp",'Por Fragrância'!$E$5:$E$192,"28 x 10,5 cm")</f>
        <v>0</v>
      </c>
      <c r="I47" s="23" t="n">
        <f aca="false">COUNTIFS('Por Fragrância'!$A$5:$A$192,$A47,'Por Fragrância'!$D$5:$D$192,"Vinil ou Bopp",'Por Fragrância'!$E$5:$E$192,"A definir")</f>
        <v>0</v>
      </c>
      <c r="J47" s="24" t="n">
        <f aca="false">SUM(C47:I47)</f>
        <v>3</v>
      </c>
      <c r="K47" s="24" t="n">
        <f aca="false">SUMIFS('Por Fragrância'!$J$5:$J$192,'Por Fragrância'!$A$5:$A$192,$A47)</f>
        <v>248</v>
      </c>
    </row>
    <row r="48" customFormat="false" ht="15" hidden="false" customHeight="false" outlineLevel="0" collapsed="false">
      <c r="A48" s="16" t="s">
        <v>79</v>
      </c>
      <c r="B48" s="16" t="s">
        <v>30</v>
      </c>
      <c r="C48" s="23" t="n">
        <f aca="false">COUNTIFS('Por Fragrância'!$A$5:$A$192,$A48,'Por Fragrância'!$D$5:$D$192,"Transparente",'Por Fragrância'!$E$5:$E$192,"5 x 10 cm (frente e verso)")</f>
        <v>0</v>
      </c>
      <c r="D48" s="23" t="n">
        <f aca="false">COUNTIFS('Por Fragrância'!$A$5:$A$192,$A48,'Por Fragrância'!$D$5:$D$192,"Transparente",'Por Fragrância'!$E$5:$E$192,"6,5 x 5 cm")</f>
        <v>0</v>
      </c>
      <c r="E48" s="23" t="n">
        <f aca="false">COUNTIFS('Por Fragrância'!$A$5:$A$192,$A48,'Por Fragrância'!$D$5:$D$192,"Vinil ou Bopp",'Por Fragrância'!$E$5:$E$192,"13 x 5 cm")</f>
        <v>0</v>
      </c>
      <c r="F48" s="23" t="n">
        <f aca="false">COUNTIFS('Por Fragrância'!$A$5:$A$192,$A48,'Por Fragrância'!$D$5:$D$192,"Vinil ou Bopp",'Por Fragrância'!$E$5:$E$192,"18 x 6,5 cm")</f>
        <v>0</v>
      </c>
      <c r="G48" s="23" t="n">
        <f aca="false">COUNTIFS('Por Fragrância'!$A$5:$A$192,$A48,'Por Fragrância'!$D$5:$D$192,"Vinil ou Bopp",'Por Fragrância'!$E$5:$E$192,"22 x 8 cm")</f>
        <v>0</v>
      </c>
      <c r="H48" s="23" t="n">
        <f aca="false">COUNTIFS('Por Fragrância'!$A$5:$A$192,$A48,'Por Fragrância'!$D$5:$D$192,"Vinil ou Bopp",'Por Fragrância'!$E$5:$E$192,"28 x 10,5 cm")</f>
        <v>1</v>
      </c>
      <c r="I48" s="23" t="n">
        <f aca="false">COUNTIFS('Por Fragrância'!$A$5:$A$192,$A48,'Por Fragrância'!$D$5:$D$192,"Vinil ou Bopp",'Por Fragrância'!$E$5:$E$192,"A definir")</f>
        <v>0</v>
      </c>
      <c r="J48" s="24" t="n">
        <f aca="false">SUM(C48:I48)</f>
        <v>1</v>
      </c>
      <c r="K48" s="24" t="n">
        <f aca="false">SUMIFS('Por Fragrância'!$J$5:$J$192,'Por Fragrância'!$A$5:$A$192,$A48)</f>
        <v>4</v>
      </c>
    </row>
    <row r="49" customFormat="false" ht="15" hidden="false" customHeight="false" outlineLevel="0" collapsed="false">
      <c r="A49" s="16" t="s">
        <v>80</v>
      </c>
      <c r="B49" s="16" t="s">
        <v>30</v>
      </c>
      <c r="C49" s="23" t="n">
        <f aca="false">COUNTIFS('Por Fragrância'!$A$5:$A$192,$A49,'Por Fragrância'!$D$5:$D$192,"Transparente",'Por Fragrância'!$E$5:$E$192,"5 x 10 cm (frente e verso)")</f>
        <v>0</v>
      </c>
      <c r="D49" s="23" t="n">
        <f aca="false">COUNTIFS('Por Fragrância'!$A$5:$A$192,$A49,'Por Fragrância'!$D$5:$D$192,"Transparente",'Por Fragrância'!$E$5:$E$192,"6,5 x 5 cm")</f>
        <v>0</v>
      </c>
      <c r="E49" s="23" t="n">
        <f aca="false">COUNTIFS('Por Fragrância'!$A$5:$A$192,$A49,'Por Fragrância'!$D$5:$D$192,"Vinil ou Bopp",'Por Fragrância'!$E$5:$E$192,"13 x 5 cm")</f>
        <v>1</v>
      </c>
      <c r="F49" s="23" t="n">
        <f aca="false">COUNTIFS('Por Fragrância'!$A$5:$A$192,$A49,'Por Fragrância'!$D$5:$D$192,"Vinil ou Bopp",'Por Fragrância'!$E$5:$E$192,"18 x 6,5 cm")</f>
        <v>0</v>
      </c>
      <c r="G49" s="23" t="n">
        <f aca="false">COUNTIFS('Por Fragrância'!$A$5:$A$192,$A49,'Por Fragrância'!$D$5:$D$192,"Vinil ou Bopp",'Por Fragrância'!$E$5:$E$192,"22 x 8 cm")</f>
        <v>2</v>
      </c>
      <c r="H49" s="23" t="n">
        <f aca="false">COUNTIFS('Por Fragrância'!$A$5:$A$192,$A49,'Por Fragrância'!$D$5:$D$192,"Vinil ou Bopp",'Por Fragrância'!$E$5:$E$192,"28 x 10,5 cm")</f>
        <v>0</v>
      </c>
      <c r="I49" s="23" t="n">
        <f aca="false">COUNTIFS('Por Fragrância'!$A$5:$A$192,$A49,'Por Fragrância'!$D$5:$D$192,"Vinil ou Bopp",'Por Fragrância'!$E$5:$E$192,"A definir")</f>
        <v>0</v>
      </c>
      <c r="J49" s="24" t="n">
        <f aca="false">SUM(C49:I49)</f>
        <v>3</v>
      </c>
      <c r="K49" s="24" t="n">
        <f aca="false">SUMIFS('Por Fragrância'!$J$5:$J$192,'Por Fragrância'!$A$5:$A$192,$A49)</f>
        <v>27</v>
      </c>
    </row>
    <row r="50" customFormat="false" ht="15" hidden="false" customHeight="false" outlineLevel="0" collapsed="false">
      <c r="A50" s="16" t="s">
        <v>81</v>
      </c>
      <c r="B50" s="16" t="s">
        <v>15</v>
      </c>
      <c r="C50" s="23" t="n">
        <f aca="false">COUNTIFS('Por Fragrância'!$A$5:$A$192,$A50,'Por Fragrância'!$D$5:$D$192,"Transparente",'Por Fragrância'!$E$5:$E$192,"5 x 10 cm (frente e verso)")</f>
        <v>1</v>
      </c>
      <c r="D50" s="23" t="n">
        <f aca="false">COUNTIFS('Por Fragrância'!$A$5:$A$192,$A50,'Por Fragrância'!$D$5:$D$192,"Transparente",'Por Fragrância'!$E$5:$E$192,"6,5 x 5 cm")</f>
        <v>1</v>
      </c>
      <c r="E50" s="23" t="n">
        <f aca="false">COUNTIFS('Por Fragrância'!$A$5:$A$192,$A50,'Por Fragrância'!$D$5:$D$192,"Vinil ou Bopp",'Por Fragrância'!$E$5:$E$192,"13 x 5 cm")</f>
        <v>0</v>
      </c>
      <c r="F50" s="23" t="n">
        <f aca="false">COUNTIFS('Por Fragrância'!$A$5:$A$192,$A50,'Por Fragrância'!$D$5:$D$192,"Vinil ou Bopp",'Por Fragrância'!$E$5:$E$192,"18 x 6,5 cm")</f>
        <v>1</v>
      </c>
      <c r="G50" s="23" t="n">
        <f aca="false">COUNTIFS('Por Fragrância'!$A$5:$A$192,$A50,'Por Fragrância'!$D$5:$D$192,"Vinil ou Bopp",'Por Fragrância'!$E$5:$E$192,"22 x 8 cm")</f>
        <v>0</v>
      </c>
      <c r="H50" s="23" t="n">
        <f aca="false">COUNTIFS('Por Fragrância'!$A$5:$A$192,$A50,'Por Fragrância'!$D$5:$D$192,"Vinil ou Bopp",'Por Fragrância'!$E$5:$E$192,"28 x 10,5 cm")</f>
        <v>0</v>
      </c>
      <c r="I50" s="23" t="n">
        <f aca="false">COUNTIFS('Por Fragrância'!$A$5:$A$192,$A50,'Por Fragrância'!$D$5:$D$192,"Vinil ou Bopp",'Por Fragrância'!$E$5:$E$192,"A definir")</f>
        <v>0</v>
      </c>
      <c r="J50" s="24" t="n">
        <f aca="false">SUM(C50:I50)</f>
        <v>3</v>
      </c>
      <c r="K50" s="24" t="n">
        <f aca="false">SUMIFS('Por Fragrância'!$J$5:$J$192,'Por Fragrância'!$A$5:$A$192,$A50)</f>
        <v>248</v>
      </c>
    </row>
    <row r="51" customFormat="false" ht="15" hidden="false" customHeight="false" outlineLevel="0" collapsed="false">
      <c r="A51" s="16" t="s">
        <v>82</v>
      </c>
      <c r="B51" s="16" t="s">
        <v>30</v>
      </c>
      <c r="C51" s="23" t="n">
        <f aca="false">COUNTIFS('Por Fragrância'!$A$5:$A$192,$A51,'Por Fragrância'!$D$5:$D$192,"Transparente",'Por Fragrância'!$E$5:$E$192,"5 x 10 cm (frente e verso)")</f>
        <v>0</v>
      </c>
      <c r="D51" s="23" t="n">
        <f aca="false">COUNTIFS('Por Fragrância'!$A$5:$A$192,$A51,'Por Fragrância'!$D$5:$D$192,"Transparente",'Por Fragrância'!$E$5:$E$192,"6,5 x 5 cm")</f>
        <v>0</v>
      </c>
      <c r="E51" s="23" t="n">
        <f aca="false">COUNTIFS('Por Fragrância'!$A$5:$A$192,$A51,'Por Fragrância'!$D$5:$D$192,"Vinil ou Bopp",'Por Fragrância'!$E$5:$E$192,"13 x 5 cm")</f>
        <v>0</v>
      </c>
      <c r="F51" s="23" t="n">
        <f aca="false">COUNTIFS('Por Fragrância'!$A$5:$A$192,$A51,'Por Fragrância'!$D$5:$D$192,"Vinil ou Bopp",'Por Fragrância'!$E$5:$E$192,"18 x 6,5 cm")</f>
        <v>0</v>
      </c>
      <c r="G51" s="23" t="n">
        <f aca="false">COUNTIFS('Por Fragrância'!$A$5:$A$192,$A51,'Por Fragrância'!$D$5:$D$192,"Vinil ou Bopp",'Por Fragrância'!$E$5:$E$192,"22 x 8 cm")</f>
        <v>2</v>
      </c>
      <c r="H51" s="23" t="n">
        <f aca="false">COUNTIFS('Por Fragrância'!$A$5:$A$192,$A51,'Por Fragrância'!$D$5:$D$192,"Vinil ou Bopp",'Por Fragrância'!$E$5:$E$192,"28 x 10,5 cm")</f>
        <v>0</v>
      </c>
      <c r="I51" s="23" t="n">
        <f aca="false">COUNTIFS('Por Fragrância'!$A$5:$A$192,$A51,'Por Fragrância'!$D$5:$D$192,"Vinil ou Bopp",'Por Fragrância'!$E$5:$E$192,"A definir")</f>
        <v>0</v>
      </c>
      <c r="J51" s="24" t="n">
        <f aca="false">SUM(C51:I51)</f>
        <v>2</v>
      </c>
      <c r="K51" s="24" t="n">
        <f aca="false">SUMIFS('Por Fragrância'!$J$5:$J$192,'Por Fragrância'!$A$5:$A$192,$A51)</f>
        <v>11</v>
      </c>
    </row>
    <row r="52" customFormat="false" ht="15" hidden="false" customHeight="false" outlineLevel="0" collapsed="false">
      <c r="A52" s="16" t="s">
        <v>83</v>
      </c>
      <c r="B52" s="16" t="s">
        <v>30</v>
      </c>
      <c r="C52" s="23" t="n">
        <f aca="false">COUNTIFS('Por Fragrância'!$A$5:$A$192,$A52,'Por Fragrância'!$D$5:$D$192,"Transparente",'Por Fragrância'!$E$5:$E$192,"5 x 10 cm (frente e verso)")</f>
        <v>0</v>
      </c>
      <c r="D52" s="23" t="n">
        <f aca="false">COUNTIFS('Por Fragrância'!$A$5:$A$192,$A52,'Por Fragrância'!$D$5:$D$192,"Transparente",'Por Fragrância'!$E$5:$E$192,"6,5 x 5 cm")</f>
        <v>0</v>
      </c>
      <c r="E52" s="23" t="n">
        <f aca="false">COUNTIFS('Por Fragrância'!$A$5:$A$192,$A52,'Por Fragrância'!$D$5:$D$192,"Vinil ou Bopp",'Por Fragrância'!$E$5:$E$192,"13 x 5 cm")</f>
        <v>1</v>
      </c>
      <c r="F52" s="23" t="n">
        <f aca="false">COUNTIFS('Por Fragrância'!$A$5:$A$192,$A52,'Por Fragrância'!$D$5:$D$192,"Vinil ou Bopp",'Por Fragrância'!$E$5:$E$192,"18 x 6,5 cm")</f>
        <v>0</v>
      </c>
      <c r="G52" s="23" t="n">
        <f aca="false">COUNTIFS('Por Fragrância'!$A$5:$A$192,$A52,'Por Fragrância'!$D$5:$D$192,"Vinil ou Bopp",'Por Fragrância'!$E$5:$E$192,"22 x 8 cm")</f>
        <v>2</v>
      </c>
      <c r="H52" s="23" t="n">
        <f aca="false">COUNTIFS('Por Fragrância'!$A$5:$A$192,$A52,'Por Fragrância'!$D$5:$D$192,"Vinil ou Bopp",'Por Fragrância'!$E$5:$E$192,"28 x 10,5 cm")</f>
        <v>1</v>
      </c>
      <c r="I52" s="23" t="n">
        <f aca="false">COUNTIFS('Por Fragrância'!$A$5:$A$192,$A52,'Por Fragrância'!$D$5:$D$192,"Vinil ou Bopp",'Por Fragrância'!$E$5:$E$192,"A definir")</f>
        <v>1</v>
      </c>
      <c r="J52" s="24" t="n">
        <f aca="false">SUM(C52:I52)</f>
        <v>5</v>
      </c>
      <c r="K52" s="24" t="n">
        <f aca="false">SUMIFS('Por Fragrância'!$J$5:$J$192,'Por Fragrância'!$A$5:$A$192,$A52)</f>
        <v>45</v>
      </c>
    </row>
    <row r="53" customFormat="false" ht="15" hidden="false" customHeight="false" outlineLevel="0" collapsed="false">
      <c r="A53" s="16" t="s">
        <v>84</v>
      </c>
      <c r="B53" s="16" t="s">
        <v>30</v>
      </c>
      <c r="C53" s="23" t="n">
        <f aca="false">COUNTIFS('Por Fragrância'!$A$5:$A$192,$A53,'Por Fragrância'!$D$5:$D$192,"Transparente",'Por Fragrância'!$E$5:$E$192,"5 x 10 cm (frente e verso)")</f>
        <v>0</v>
      </c>
      <c r="D53" s="23" t="n">
        <f aca="false">COUNTIFS('Por Fragrância'!$A$5:$A$192,$A53,'Por Fragrância'!$D$5:$D$192,"Transparente",'Por Fragrância'!$E$5:$E$192,"6,5 x 5 cm")</f>
        <v>0</v>
      </c>
      <c r="E53" s="23" t="n">
        <f aca="false">COUNTIFS('Por Fragrância'!$A$5:$A$192,$A53,'Por Fragrância'!$D$5:$D$192,"Vinil ou Bopp",'Por Fragrância'!$E$5:$E$192,"13 x 5 cm")</f>
        <v>1</v>
      </c>
      <c r="F53" s="23" t="n">
        <f aca="false">COUNTIFS('Por Fragrância'!$A$5:$A$192,$A53,'Por Fragrância'!$D$5:$D$192,"Vinil ou Bopp",'Por Fragrância'!$E$5:$E$192,"18 x 6,5 cm")</f>
        <v>0</v>
      </c>
      <c r="G53" s="23" t="n">
        <f aca="false">COUNTIFS('Por Fragrância'!$A$5:$A$192,$A53,'Por Fragrância'!$D$5:$D$192,"Vinil ou Bopp",'Por Fragrância'!$E$5:$E$192,"22 x 8 cm")</f>
        <v>2</v>
      </c>
      <c r="H53" s="23" t="n">
        <f aca="false">COUNTIFS('Por Fragrância'!$A$5:$A$192,$A53,'Por Fragrância'!$D$5:$D$192,"Vinil ou Bopp",'Por Fragrância'!$E$5:$E$192,"28 x 10,5 cm")</f>
        <v>1</v>
      </c>
      <c r="I53" s="23" t="n">
        <f aca="false">COUNTIFS('Por Fragrância'!$A$5:$A$192,$A53,'Por Fragrância'!$D$5:$D$192,"Vinil ou Bopp",'Por Fragrância'!$E$5:$E$192,"A definir")</f>
        <v>1</v>
      </c>
      <c r="J53" s="24" t="n">
        <f aca="false">SUM(C53:I53)</f>
        <v>5</v>
      </c>
      <c r="K53" s="24" t="n">
        <f aca="false">SUMIFS('Por Fragrância'!$J$5:$J$192,'Por Fragrância'!$A$5:$A$192,$A53)</f>
        <v>120</v>
      </c>
    </row>
    <row r="54" customFormat="false" ht="15" hidden="false" customHeight="false" outlineLevel="0" collapsed="false">
      <c r="A54" s="16" t="s">
        <v>85</v>
      </c>
      <c r="B54" s="16" t="s">
        <v>15</v>
      </c>
      <c r="C54" s="23" t="n">
        <f aca="false">COUNTIFS('Por Fragrância'!$A$5:$A$192,$A54,'Por Fragrância'!$D$5:$D$192,"Transparente",'Por Fragrância'!$E$5:$E$192,"5 x 10 cm (frente e verso)")</f>
        <v>1</v>
      </c>
      <c r="D54" s="23" t="n">
        <f aca="false">COUNTIFS('Por Fragrância'!$A$5:$A$192,$A54,'Por Fragrância'!$D$5:$D$192,"Transparente",'Por Fragrância'!$E$5:$E$192,"6,5 x 5 cm")</f>
        <v>1</v>
      </c>
      <c r="E54" s="23" t="n">
        <f aca="false">COUNTIFS('Por Fragrância'!$A$5:$A$192,$A54,'Por Fragrância'!$D$5:$D$192,"Vinil ou Bopp",'Por Fragrância'!$E$5:$E$192,"13 x 5 cm")</f>
        <v>0</v>
      </c>
      <c r="F54" s="23" t="n">
        <f aca="false">COUNTIFS('Por Fragrância'!$A$5:$A$192,$A54,'Por Fragrância'!$D$5:$D$192,"Vinil ou Bopp",'Por Fragrância'!$E$5:$E$192,"18 x 6,5 cm")</f>
        <v>1</v>
      </c>
      <c r="G54" s="23" t="n">
        <f aca="false">COUNTIFS('Por Fragrância'!$A$5:$A$192,$A54,'Por Fragrância'!$D$5:$D$192,"Vinil ou Bopp",'Por Fragrância'!$E$5:$E$192,"22 x 8 cm")</f>
        <v>0</v>
      </c>
      <c r="H54" s="23" t="n">
        <f aca="false">COUNTIFS('Por Fragrância'!$A$5:$A$192,$A54,'Por Fragrância'!$D$5:$D$192,"Vinil ou Bopp",'Por Fragrância'!$E$5:$E$192,"28 x 10,5 cm")</f>
        <v>0</v>
      </c>
      <c r="I54" s="23" t="n">
        <f aca="false">COUNTIFS('Por Fragrância'!$A$5:$A$192,$A54,'Por Fragrância'!$D$5:$D$192,"Vinil ou Bopp",'Por Fragrância'!$E$5:$E$192,"A definir")</f>
        <v>0</v>
      </c>
      <c r="J54" s="24" t="n">
        <f aca="false">SUM(C54:I54)</f>
        <v>3</v>
      </c>
      <c r="K54" s="24" t="n">
        <f aca="false">SUMIFS('Por Fragrância'!$J$5:$J$192,'Por Fragrância'!$A$5:$A$192,$A54)</f>
        <v>248</v>
      </c>
    </row>
    <row r="55" customFormat="false" ht="15" hidden="false" customHeight="false" outlineLevel="0" collapsed="false">
      <c r="A55" s="16" t="s">
        <v>86</v>
      </c>
      <c r="B55" s="16" t="s">
        <v>30</v>
      </c>
      <c r="C55" s="23" t="n">
        <f aca="false">COUNTIFS('Por Fragrância'!$A$5:$A$192,$A55,'Por Fragrância'!$D$5:$D$192,"Transparente",'Por Fragrância'!$E$5:$E$192,"5 x 10 cm (frente e verso)")</f>
        <v>0</v>
      </c>
      <c r="D55" s="23" t="n">
        <f aca="false">COUNTIFS('Por Fragrância'!$A$5:$A$192,$A55,'Por Fragrância'!$D$5:$D$192,"Transparente",'Por Fragrância'!$E$5:$E$192,"6,5 x 5 cm")</f>
        <v>0</v>
      </c>
      <c r="E55" s="23" t="n">
        <f aca="false">COUNTIFS('Por Fragrância'!$A$5:$A$192,$A55,'Por Fragrância'!$D$5:$D$192,"Vinil ou Bopp",'Por Fragrância'!$E$5:$E$192,"13 x 5 cm")</f>
        <v>0</v>
      </c>
      <c r="F55" s="23" t="n">
        <f aca="false">COUNTIFS('Por Fragrância'!$A$5:$A$192,$A55,'Por Fragrância'!$D$5:$D$192,"Vinil ou Bopp",'Por Fragrância'!$E$5:$E$192,"18 x 6,5 cm")</f>
        <v>0</v>
      </c>
      <c r="G55" s="23" t="n">
        <f aca="false">COUNTIFS('Por Fragrância'!$A$5:$A$192,$A55,'Por Fragrância'!$D$5:$D$192,"Vinil ou Bopp",'Por Fragrância'!$E$5:$E$192,"22 x 8 cm")</f>
        <v>2</v>
      </c>
      <c r="H55" s="23" t="n">
        <f aca="false">COUNTIFS('Por Fragrância'!$A$5:$A$192,$A55,'Por Fragrância'!$D$5:$D$192,"Vinil ou Bopp",'Por Fragrância'!$E$5:$E$192,"28 x 10,5 cm")</f>
        <v>0</v>
      </c>
      <c r="I55" s="23" t="n">
        <f aca="false">COUNTIFS('Por Fragrância'!$A$5:$A$192,$A55,'Por Fragrância'!$D$5:$D$192,"Vinil ou Bopp",'Por Fragrância'!$E$5:$E$192,"A definir")</f>
        <v>0</v>
      </c>
      <c r="J55" s="24" t="n">
        <f aca="false">SUM(C55:I55)</f>
        <v>2</v>
      </c>
      <c r="K55" s="24" t="n">
        <f aca="false">SUMIFS('Por Fragrância'!$J$5:$J$192,'Por Fragrância'!$A$5:$A$192,$A55)</f>
        <v>111</v>
      </c>
    </row>
    <row r="56" customFormat="false" ht="15" hidden="false" customHeight="false" outlineLevel="0" collapsed="false">
      <c r="A56" s="16" t="s">
        <v>87</v>
      </c>
      <c r="B56" s="16" t="s">
        <v>30</v>
      </c>
      <c r="C56" s="23" t="n">
        <f aca="false">COUNTIFS('Por Fragrância'!$A$5:$A$192,$A56,'Por Fragrância'!$D$5:$D$192,"Transparente",'Por Fragrância'!$E$5:$E$192,"5 x 10 cm (frente e verso)")</f>
        <v>0</v>
      </c>
      <c r="D56" s="23" t="n">
        <f aca="false">COUNTIFS('Por Fragrância'!$A$5:$A$192,$A56,'Por Fragrância'!$D$5:$D$192,"Transparente",'Por Fragrância'!$E$5:$E$192,"6,5 x 5 cm")</f>
        <v>0</v>
      </c>
      <c r="E56" s="23" t="n">
        <f aca="false">COUNTIFS('Por Fragrância'!$A$5:$A$192,$A56,'Por Fragrância'!$D$5:$D$192,"Vinil ou Bopp",'Por Fragrância'!$E$5:$E$192,"13 x 5 cm")</f>
        <v>1</v>
      </c>
      <c r="F56" s="23" t="n">
        <f aca="false">COUNTIFS('Por Fragrância'!$A$5:$A$192,$A56,'Por Fragrância'!$D$5:$D$192,"Vinil ou Bopp",'Por Fragrância'!$E$5:$E$192,"18 x 6,5 cm")</f>
        <v>0</v>
      </c>
      <c r="G56" s="23" t="n">
        <f aca="false">COUNTIFS('Por Fragrância'!$A$5:$A$192,$A56,'Por Fragrância'!$D$5:$D$192,"Vinil ou Bopp",'Por Fragrância'!$E$5:$E$192,"22 x 8 cm")</f>
        <v>1</v>
      </c>
      <c r="H56" s="23" t="n">
        <f aca="false">COUNTIFS('Por Fragrância'!$A$5:$A$192,$A56,'Por Fragrância'!$D$5:$D$192,"Vinil ou Bopp",'Por Fragrância'!$E$5:$E$192,"28 x 10,5 cm")</f>
        <v>0</v>
      </c>
      <c r="I56" s="23" t="n">
        <f aca="false">COUNTIFS('Por Fragrância'!$A$5:$A$192,$A56,'Por Fragrância'!$D$5:$D$192,"Vinil ou Bopp",'Por Fragrância'!$E$5:$E$192,"A definir")</f>
        <v>0</v>
      </c>
      <c r="J56" s="24" t="n">
        <f aca="false">SUM(C56:I56)</f>
        <v>2</v>
      </c>
      <c r="K56" s="24" t="n">
        <f aca="false">SUMIFS('Por Fragrância'!$J$5:$J$192,'Por Fragrância'!$A$5:$A$192,$A56)</f>
        <v>4</v>
      </c>
    </row>
    <row r="57" customFormat="false" ht="15" hidden="false" customHeight="false" outlineLevel="0" collapsed="false">
      <c r="A57" s="16" t="s">
        <v>88</v>
      </c>
      <c r="B57" s="16" t="s">
        <v>15</v>
      </c>
      <c r="C57" s="23" t="n">
        <f aca="false">COUNTIFS('Por Fragrância'!$A$5:$A$192,$A57,'Por Fragrância'!$D$5:$D$192,"Transparente",'Por Fragrância'!$E$5:$E$192,"5 x 10 cm (frente e verso)")</f>
        <v>1</v>
      </c>
      <c r="D57" s="23" t="n">
        <f aca="false">COUNTIFS('Por Fragrância'!$A$5:$A$192,$A57,'Por Fragrância'!$D$5:$D$192,"Transparente",'Por Fragrância'!$E$5:$E$192,"6,5 x 5 cm")</f>
        <v>1</v>
      </c>
      <c r="E57" s="23" t="n">
        <f aca="false">COUNTIFS('Por Fragrância'!$A$5:$A$192,$A57,'Por Fragrância'!$D$5:$D$192,"Vinil ou Bopp",'Por Fragrância'!$E$5:$E$192,"13 x 5 cm")</f>
        <v>0</v>
      </c>
      <c r="F57" s="23" t="n">
        <f aca="false">COUNTIFS('Por Fragrância'!$A$5:$A$192,$A57,'Por Fragrância'!$D$5:$D$192,"Vinil ou Bopp",'Por Fragrância'!$E$5:$E$192,"18 x 6,5 cm")</f>
        <v>1</v>
      </c>
      <c r="G57" s="23" t="n">
        <f aca="false">COUNTIFS('Por Fragrância'!$A$5:$A$192,$A57,'Por Fragrância'!$D$5:$D$192,"Vinil ou Bopp",'Por Fragrância'!$E$5:$E$192,"22 x 8 cm")</f>
        <v>0</v>
      </c>
      <c r="H57" s="23" t="n">
        <f aca="false">COUNTIFS('Por Fragrância'!$A$5:$A$192,$A57,'Por Fragrância'!$D$5:$D$192,"Vinil ou Bopp",'Por Fragrância'!$E$5:$E$192,"28 x 10,5 cm")</f>
        <v>0</v>
      </c>
      <c r="I57" s="23" t="n">
        <f aca="false">COUNTIFS('Por Fragrância'!$A$5:$A$192,$A57,'Por Fragrância'!$D$5:$D$192,"Vinil ou Bopp",'Por Fragrância'!$E$5:$E$192,"A definir")</f>
        <v>0</v>
      </c>
      <c r="J57" s="24" t="n">
        <f aca="false">SUM(C57:I57)</f>
        <v>3</v>
      </c>
      <c r="K57" s="24" t="n">
        <f aca="false">SUMIFS('Por Fragrância'!$J$5:$J$192,'Por Fragrância'!$A$5:$A$192,$A57)</f>
        <v>248</v>
      </c>
    </row>
    <row r="58" customFormat="false" ht="15" hidden="false" customHeight="false" outlineLevel="0" collapsed="false">
      <c r="A58" s="16" t="s">
        <v>89</v>
      </c>
      <c r="B58" s="16" t="s">
        <v>15</v>
      </c>
      <c r="C58" s="23" t="n">
        <f aca="false">COUNTIFS('Por Fragrância'!$A$5:$A$192,$A58,'Por Fragrância'!$D$5:$D$192,"Transparente",'Por Fragrância'!$E$5:$E$192,"5 x 10 cm (frente e verso)")</f>
        <v>1</v>
      </c>
      <c r="D58" s="23" t="n">
        <f aca="false">COUNTIFS('Por Fragrância'!$A$5:$A$192,$A58,'Por Fragrância'!$D$5:$D$192,"Transparente",'Por Fragrância'!$E$5:$E$192,"6,5 x 5 cm")</f>
        <v>1</v>
      </c>
      <c r="E58" s="23" t="n">
        <f aca="false">COUNTIFS('Por Fragrância'!$A$5:$A$192,$A58,'Por Fragrância'!$D$5:$D$192,"Vinil ou Bopp",'Por Fragrância'!$E$5:$E$192,"13 x 5 cm")</f>
        <v>0</v>
      </c>
      <c r="F58" s="23" t="n">
        <f aca="false">COUNTIFS('Por Fragrância'!$A$5:$A$192,$A58,'Por Fragrância'!$D$5:$D$192,"Vinil ou Bopp",'Por Fragrância'!$E$5:$E$192,"18 x 6,5 cm")</f>
        <v>1</v>
      </c>
      <c r="G58" s="23" t="n">
        <f aca="false">COUNTIFS('Por Fragrância'!$A$5:$A$192,$A58,'Por Fragrância'!$D$5:$D$192,"Vinil ou Bopp",'Por Fragrância'!$E$5:$E$192,"22 x 8 cm")</f>
        <v>0</v>
      </c>
      <c r="H58" s="23" t="n">
        <f aca="false">COUNTIFS('Por Fragrância'!$A$5:$A$192,$A58,'Por Fragrância'!$D$5:$D$192,"Vinil ou Bopp",'Por Fragrância'!$E$5:$E$192,"28 x 10,5 cm")</f>
        <v>0</v>
      </c>
      <c r="I58" s="23" t="n">
        <f aca="false">COUNTIFS('Por Fragrância'!$A$5:$A$192,$A58,'Por Fragrância'!$D$5:$D$192,"Vinil ou Bopp",'Por Fragrância'!$E$5:$E$192,"A definir")</f>
        <v>0</v>
      </c>
      <c r="J58" s="24" t="n">
        <f aca="false">SUM(C58:I58)</f>
        <v>3</v>
      </c>
      <c r="K58" s="24" t="n">
        <f aca="false">SUMIFS('Por Fragrância'!$J$5:$J$192,'Por Fragrância'!$A$5:$A$192,$A58)</f>
        <v>248</v>
      </c>
    </row>
    <row r="59" customFormat="false" ht="15" hidden="false" customHeight="false" outlineLevel="0" collapsed="false">
      <c r="A59" s="16" t="s">
        <v>90</v>
      </c>
      <c r="B59" s="16" t="s">
        <v>30</v>
      </c>
      <c r="C59" s="23" t="n">
        <f aca="false">COUNTIFS('Por Fragrância'!$A$5:$A$192,$A59,'Por Fragrância'!$D$5:$D$192,"Transparente",'Por Fragrância'!$E$5:$E$192,"5 x 10 cm (frente e verso)")</f>
        <v>0</v>
      </c>
      <c r="D59" s="23" t="n">
        <f aca="false">COUNTIFS('Por Fragrância'!$A$5:$A$192,$A59,'Por Fragrância'!$D$5:$D$192,"Transparente",'Por Fragrância'!$E$5:$E$192,"6,5 x 5 cm")</f>
        <v>0</v>
      </c>
      <c r="E59" s="23" t="n">
        <f aca="false">COUNTIFS('Por Fragrância'!$A$5:$A$192,$A59,'Por Fragrância'!$D$5:$D$192,"Vinil ou Bopp",'Por Fragrância'!$E$5:$E$192,"13 x 5 cm")</f>
        <v>1</v>
      </c>
      <c r="F59" s="23" t="n">
        <f aca="false">COUNTIFS('Por Fragrância'!$A$5:$A$192,$A59,'Por Fragrância'!$D$5:$D$192,"Vinil ou Bopp",'Por Fragrância'!$E$5:$E$192,"18 x 6,5 cm")</f>
        <v>0</v>
      </c>
      <c r="G59" s="23" t="n">
        <f aca="false">COUNTIFS('Por Fragrância'!$A$5:$A$192,$A59,'Por Fragrância'!$D$5:$D$192,"Vinil ou Bopp",'Por Fragrância'!$E$5:$E$192,"22 x 8 cm")</f>
        <v>1</v>
      </c>
      <c r="H59" s="23" t="n">
        <f aca="false">COUNTIFS('Por Fragrância'!$A$5:$A$192,$A59,'Por Fragrância'!$D$5:$D$192,"Vinil ou Bopp",'Por Fragrância'!$E$5:$E$192,"28 x 10,5 cm")</f>
        <v>0</v>
      </c>
      <c r="I59" s="23" t="n">
        <f aca="false">COUNTIFS('Por Fragrância'!$A$5:$A$192,$A59,'Por Fragrância'!$D$5:$D$192,"Vinil ou Bopp",'Por Fragrância'!$E$5:$E$192,"A definir")</f>
        <v>0</v>
      </c>
      <c r="J59" s="24" t="n">
        <f aca="false">SUM(C59:I59)</f>
        <v>2</v>
      </c>
      <c r="K59" s="24" t="n">
        <f aca="false">SUMIFS('Por Fragrância'!$J$5:$J$192,'Por Fragrância'!$A$5:$A$192,$A59)</f>
        <v>111</v>
      </c>
    </row>
    <row r="60" customFormat="false" ht="15" hidden="false" customHeight="false" outlineLevel="0" collapsed="false">
      <c r="A60" s="16" t="s">
        <v>91</v>
      </c>
      <c r="B60" s="16" t="s">
        <v>15</v>
      </c>
      <c r="C60" s="23" t="n">
        <f aca="false">COUNTIFS('Por Fragrância'!$A$5:$A$192,$A60,'Por Fragrância'!$D$5:$D$192,"Transparente",'Por Fragrância'!$E$5:$E$192,"5 x 10 cm (frente e verso)")</f>
        <v>1</v>
      </c>
      <c r="D60" s="23" t="n">
        <f aca="false">COUNTIFS('Por Fragrância'!$A$5:$A$192,$A60,'Por Fragrância'!$D$5:$D$192,"Transparente",'Por Fragrância'!$E$5:$E$192,"6,5 x 5 cm")</f>
        <v>1</v>
      </c>
      <c r="E60" s="23" t="n">
        <f aca="false">COUNTIFS('Por Fragrância'!$A$5:$A$192,$A60,'Por Fragrância'!$D$5:$D$192,"Vinil ou Bopp",'Por Fragrância'!$E$5:$E$192,"13 x 5 cm")</f>
        <v>0</v>
      </c>
      <c r="F60" s="23" t="n">
        <f aca="false">COUNTIFS('Por Fragrância'!$A$5:$A$192,$A60,'Por Fragrância'!$D$5:$D$192,"Vinil ou Bopp",'Por Fragrância'!$E$5:$E$192,"18 x 6,5 cm")</f>
        <v>1</v>
      </c>
      <c r="G60" s="23" t="n">
        <f aca="false">COUNTIFS('Por Fragrância'!$A$5:$A$192,$A60,'Por Fragrância'!$D$5:$D$192,"Vinil ou Bopp",'Por Fragrância'!$E$5:$E$192,"22 x 8 cm")</f>
        <v>0</v>
      </c>
      <c r="H60" s="23" t="n">
        <f aca="false">COUNTIFS('Por Fragrância'!$A$5:$A$192,$A60,'Por Fragrância'!$D$5:$D$192,"Vinil ou Bopp",'Por Fragrância'!$E$5:$E$192,"28 x 10,5 cm")</f>
        <v>0</v>
      </c>
      <c r="I60" s="23" t="n">
        <f aca="false">COUNTIFS('Por Fragrância'!$A$5:$A$192,$A60,'Por Fragrância'!$D$5:$D$192,"Vinil ou Bopp",'Por Fragrância'!$E$5:$E$192,"A definir")</f>
        <v>0</v>
      </c>
      <c r="J60" s="24" t="n">
        <f aca="false">SUM(C60:I60)</f>
        <v>3</v>
      </c>
      <c r="K60" s="24" t="n">
        <f aca="false">SUMIFS('Por Fragrância'!$J$5:$J$192,'Por Fragrância'!$A$5:$A$192,$A60)</f>
        <v>248</v>
      </c>
    </row>
    <row r="61" customFormat="false" ht="15" hidden="false" customHeight="false" outlineLevel="0" collapsed="false">
      <c r="A61" s="17" t="s">
        <v>111</v>
      </c>
      <c r="B61" s="17"/>
      <c r="C61" s="24" t="n">
        <f aca="false">SUBTOTAL(9,C5:C60)</f>
        <v>17</v>
      </c>
      <c r="D61" s="24" t="n">
        <f aca="false">SUBTOTAL(9,D5:D60)</f>
        <v>24</v>
      </c>
      <c r="E61" s="24" t="n">
        <f aca="false">SUBTOTAL(9,E5:E60)</f>
        <v>31</v>
      </c>
      <c r="F61" s="24" t="n">
        <f aca="false">SUBTOTAL(9,F5:F60)</f>
        <v>28</v>
      </c>
      <c r="G61" s="24" t="n">
        <f aca="false">SUBTOTAL(9,G5:G60)</f>
        <v>60</v>
      </c>
      <c r="H61" s="24" t="n">
        <f aca="false">SUBTOTAL(9,H5:H60)</f>
        <v>18</v>
      </c>
      <c r="I61" s="24" t="n">
        <f aca="false">SUBTOTAL(9,I5:I60)</f>
        <v>10</v>
      </c>
      <c r="J61" s="24" t="n">
        <f aca="false">SUBTOTAL(9,J5:J60)</f>
        <v>188</v>
      </c>
      <c r="K61" s="24" t="n">
        <f aca="false">SUBTOTAL(9,K5:K60)</f>
        <v>8332</v>
      </c>
    </row>
  </sheetData>
  <autoFilter ref="A4:K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331</v>
      </c>
    </row>
    <row r="2" customFormat="false" ht="15" hidden="false" customHeight="false" outlineLevel="0" collapsed="false">
      <c r="A2" s="2" t="s">
        <v>332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333</v>
      </c>
      <c r="G4" s="3" t="s">
        <v>114</v>
      </c>
      <c r="H4" s="3" t="s">
        <v>334</v>
      </c>
      <c r="I4" s="3" t="s">
        <v>335</v>
      </c>
      <c r="J4" s="3" t="s">
        <v>336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 t="s">
        <v>17</v>
      </c>
      <c r="F5" s="4" t="s">
        <v>14</v>
      </c>
      <c r="G5" s="4" t="s">
        <v>15</v>
      </c>
      <c r="H5" s="16" t="n">
        <f aca="false">SUMIFS(Rótulos!$G$5:$G$212,Rótulos!$A$5:$A$212,$A5,Rótulos!$B$5:$B$212,$B5,Rótulos!$C$5:$C$212,$C5,Rótulos!$H$5:$H$212,$D5,Rótulos!$I$5:$I$212,$E5,Rótulos!$F$5:$F$212,"B2C")</f>
        <v>200</v>
      </c>
      <c r="I5" s="16" t="n">
        <f aca="false">SUMIFS(Rótulos!$G$5:$G$212,Rótulos!$A$5:$A$212,$A5,Rótulos!$B$5:$B$212,$B5,Rótulos!$C$5:$C$212,$C5,Rótulos!$H$5:$H$212,$D5,Rótulos!$I$5:$I$212,$E5,Rótulos!$F$5:$F$212,"B2B")</f>
        <v>0</v>
      </c>
      <c r="J5" s="17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16</v>
      </c>
      <c r="E6" s="4" t="s">
        <v>21</v>
      </c>
      <c r="F6" s="4" t="s">
        <v>117</v>
      </c>
      <c r="G6" s="4" t="s">
        <v>15</v>
      </c>
      <c r="H6" s="16" t="n">
        <f aca="false">SUMIFS(Rótulos!$G$5:$G$212,Rótulos!$A$5:$A$212,$A6,Rótulos!$B$5:$B$212,$B6,Rótulos!$C$5:$C$212,$C6,Rótulos!$H$5:$H$212,$D6,Rótulos!$I$5:$I$212,$E6,Rótulos!$F$5:$F$212,"B2C")</f>
        <v>36</v>
      </c>
      <c r="I6" s="16" t="n">
        <f aca="false">SUMIFS(Rótulos!$G$5:$G$212,Rótulos!$A$5:$A$212,$A6,Rótulos!$B$5:$B$212,$B6,Rótulos!$C$5:$C$212,$C6,Rótulos!$H$5:$H$212,$D6,Rótulos!$I$5:$I$212,$E6,Rótulos!$F$5:$F$212,"B2B")</f>
        <v>0</v>
      </c>
      <c r="J6" s="17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24</v>
      </c>
      <c r="E7" s="4" t="s">
        <v>25</v>
      </c>
      <c r="F7" s="4" t="s">
        <v>23</v>
      </c>
      <c r="G7" s="4" t="s">
        <v>15</v>
      </c>
      <c r="H7" s="16" t="n">
        <f aca="false">SUMIFS(Rótulos!$G$5:$G$212,Rótulos!$A$5:$A$212,$A7,Rótulos!$B$5:$B$212,$B7,Rótulos!$C$5:$C$212,$C7,Rótulos!$H$5:$H$212,$D7,Rótulos!$I$5:$I$212,$E7,Rótulos!$F$5:$F$212,"B2C")</f>
        <v>12</v>
      </c>
      <c r="I7" s="16" t="n">
        <f aca="false">SUMIFS(Rótulos!$G$5:$G$212,Rótulos!$A$5:$A$212,$A7,Rótulos!$B$5:$B$212,$B7,Rótulos!$C$5:$C$212,$C7,Rótulos!$H$5:$H$212,$D7,Rótulos!$I$5:$I$212,$E7,Rótulos!$F$5:$F$212,"B2B")</f>
        <v>0</v>
      </c>
      <c r="J7" s="17" t="n">
        <f aca="false">H7+I7</f>
        <v>12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160</v>
      </c>
      <c r="D8" s="4" t="s">
        <v>24</v>
      </c>
      <c r="E8" s="4" t="s">
        <v>110</v>
      </c>
      <c r="F8" s="4" t="s">
        <v>29</v>
      </c>
      <c r="G8" s="4" t="s">
        <v>30</v>
      </c>
      <c r="H8" s="16" t="n">
        <f aca="false">SUMIFS(Rótulos!$G$5:$G$212,Rótulos!$A$5:$A$212,$A8,Rótulos!$B$5:$B$212,$B8,Rótulos!$C$5:$C$212,$C8,Rótulos!$H$5:$H$212,$D8,Rótulos!$I$5:$I$212,"=",Rótulos!$F$5:$F$212,"B2C")</f>
        <v>0</v>
      </c>
      <c r="I8" s="16" t="n">
        <f aca="false">SUMIFS(Rótulos!$G$5:$G$212,Rótulos!$A$5:$A$212,$A8,Rótulos!$B$5:$B$212,$B8,Rótulos!$C$5:$C$212,$C8,Rótulos!$H$5:$H$212,$D8,Rótulos!$I$5:$I$212,"=",Rótulos!$F$5:$F$212,"B2B")</f>
        <v>29</v>
      </c>
      <c r="J8" s="17" t="n">
        <f aca="false">H8+I8</f>
        <v>29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400</v>
      </c>
      <c r="D9" s="4" t="s">
        <v>24</v>
      </c>
      <c r="E9" s="4" t="s">
        <v>31</v>
      </c>
      <c r="F9" s="4" t="s">
        <v>29</v>
      </c>
      <c r="G9" s="4" t="s">
        <v>30</v>
      </c>
      <c r="H9" s="16" t="n">
        <f aca="false">SUMIFS(Rótulos!$G$5:$G$212,Rótulos!$A$5:$A$212,$A9,Rótulos!$B$5:$B$212,$B9,Rótulos!$C$5:$C$212,$C9,Rótulos!$H$5:$H$212,$D9,Rótulos!$I$5:$I$212,$E9,Rótulos!$F$5:$F$212,"B2C")</f>
        <v>0</v>
      </c>
      <c r="I9" s="16" t="n">
        <f aca="false">SUMIFS(Rótulos!$G$5:$G$212,Rótulos!$A$5:$A$212,$A9,Rótulos!$B$5:$B$212,$B9,Rótulos!$C$5:$C$212,$C9,Rótulos!$H$5:$H$212,$D9,Rótulos!$I$5:$I$212,$E9,Rótulos!$F$5:$F$212,"B2B")</f>
        <v>55</v>
      </c>
      <c r="J9" s="17" t="n">
        <f aca="false">H9+I9</f>
        <v>55</v>
      </c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1000</v>
      </c>
      <c r="D10" s="4" t="s">
        <v>24</v>
      </c>
      <c r="E10" s="4" t="s">
        <v>32</v>
      </c>
      <c r="F10" s="4" t="s">
        <v>29</v>
      </c>
      <c r="G10" s="4" t="s">
        <v>30</v>
      </c>
      <c r="H10" s="16" t="n">
        <f aca="false">SUMIFS(Rótulos!$G$5:$G$212,Rótulos!$A$5:$A$212,$A10,Rótulos!$B$5:$B$212,$B10,Rótulos!$C$5:$C$212,$C10,Rótulos!$H$5:$H$212,$D10,Rótulos!$I$5:$I$212,$E10,Rótulos!$F$5:$F$212,"B2C")</f>
        <v>0</v>
      </c>
      <c r="I10" s="16" t="n">
        <f aca="false">SUMIFS(Rótulos!$G$5:$G$212,Rótulos!$A$5:$A$212,$A10,Rótulos!$B$5:$B$212,$B10,Rótulos!$C$5:$C$212,$C10,Rótulos!$H$5:$H$212,$D10,Rótulos!$I$5:$I$212,$E10,Rótulos!$F$5:$F$212,"B2B")</f>
        <v>21</v>
      </c>
      <c r="J10" s="17" t="n">
        <f aca="false">H10+I10</f>
        <v>21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5000</v>
      </c>
      <c r="D11" s="4" t="s">
        <v>24</v>
      </c>
      <c r="E11" s="4" t="s">
        <v>110</v>
      </c>
      <c r="F11" s="4" t="s">
        <v>29</v>
      </c>
      <c r="G11" s="4" t="s">
        <v>30</v>
      </c>
      <c r="H11" s="16" t="n">
        <f aca="false">SUMIFS(Rótulos!$G$5:$G$212,Rótulos!$A$5:$A$212,$A11,Rótulos!$B$5:$B$212,$B11,Rótulos!$C$5:$C$212,$C11,Rótulos!$H$5:$H$212,$D11,Rótulos!$I$5:$I$212,"=",Rótulos!$F$5:$F$212,"B2C")</f>
        <v>0</v>
      </c>
      <c r="I11" s="16" t="n">
        <f aca="false">SUMIFS(Rótulos!$G$5:$G$212,Rótulos!$A$5:$A$212,$A11,Rótulos!$B$5:$B$212,$B11,Rótulos!$C$5:$C$212,$C11,Rótulos!$H$5:$H$212,$D11,Rótulos!$I$5:$I$212,"=",Rótulos!$F$5:$F$212,"B2B")</f>
        <v>28</v>
      </c>
      <c r="J11" s="17" t="n">
        <f aca="false">H11+I11</f>
        <v>28</v>
      </c>
    </row>
    <row r="12" customFormat="false" ht="15" hidden="false" customHeight="false" outlineLevel="0" collapsed="false">
      <c r="A12" s="4" t="s">
        <v>28</v>
      </c>
      <c r="B12" s="4" t="s">
        <v>33</v>
      </c>
      <c r="C12" s="4" t="n">
        <v>100</v>
      </c>
      <c r="D12" s="4" t="s">
        <v>24</v>
      </c>
      <c r="E12" s="4" t="s">
        <v>34</v>
      </c>
      <c r="F12" s="4" t="s">
        <v>33</v>
      </c>
      <c r="G12" s="4" t="s">
        <v>30</v>
      </c>
      <c r="H12" s="16" t="n">
        <f aca="false">SUMIFS(Rótulos!$G$5:$G$212,Rótulos!$A$5:$A$212,$A12,Rótulos!$B$5:$B$212,$B12,Rótulos!$C$5:$C$212,$C12,Rótulos!$H$5:$H$212,$D12,Rótulos!$I$5:$I$212,$E12,Rótulos!$F$5:$F$212,"B2C")</f>
        <v>0</v>
      </c>
      <c r="I12" s="16" t="n">
        <f aca="false">SUMIFS(Rótulos!$G$5:$G$212,Rótulos!$A$5:$A$212,$A12,Rótulos!$B$5:$B$212,$B12,Rótulos!$C$5:$C$212,$C12,Rótulos!$H$5:$H$212,$D12,Rótulos!$I$5:$I$212,$E12,Rótulos!$F$5:$F$212,"B2B")</f>
        <v>19</v>
      </c>
      <c r="J12" s="17" t="n">
        <f aca="false">H12+I12</f>
        <v>19</v>
      </c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500</v>
      </c>
      <c r="D13" s="4" t="s">
        <v>24</v>
      </c>
      <c r="E13" s="4" t="s">
        <v>31</v>
      </c>
      <c r="F13" s="4" t="s">
        <v>33</v>
      </c>
      <c r="G13" s="4" t="s">
        <v>30</v>
      </c>
      <c r="H13" s="16" t="n">
        <f aca="false">SUMIFS(Rótulos!$G$5:$G$212,Rótulos!$A$5:$A$212,$A13,Rótulos!$B$5:$B$212,$B13,Rótulos!$C$5:$C$212,$C13,Rótulos!$H$5:$H$212,$D13,Rótulos!$I$5:$I$212,$E13,Rótulos!$F$5:$F$212,"B2C")</f>
        <v>0</v>
      </c>
      <c r="I13" s="16" t="n">
        <f aca="false">SUMIFS(Rótulos!$G$5:$G$212,Rótulos!$A$5:$A$212,$A13,Rótulos!$B$5:$B$212,$B13,Rótulos!$C$5:$C$212,$C13,Rótulos!$H$5:$H$212,$D13,Rótulos!$I$5:$I$212,$E13,Rótulos!$F$5:$F$212,"B2B")</f>
        <v>76</v>
      </c>
      <c r="J13" s="17" t="n">
        <f aca="false">H13+I13</f>
        <v>76</v>
      </c>
    </row>
    <row r="14" customFormat="false" ht="15" hidden="false" customHeight="false" outlineLevel="0" collapsed="false">
      <c r="A14" s="4" t="s">
        <v>28</v>
      </c>
      <c r="B14" s="4" t="s">
        <v>12</v>
      </c>
      <c r="C14" s="4" t="n">
        <v>15</v>
      </c>
      <c r="D14" s="4" t="s">
        <v>16</v>
      </c>
      <c r="E14" s="4" t="s">
        <v>17</v>
      </c>
      <c r="F14" s="4" t="s">
        <v>14</v>
      </c>
      <c r="G14" s="4" t="s">
        <v>15</v>
      </c>
      <c r="H14" s="16" t="n">
        <f aca="false">SUMIFS(Rótulos!$G$5:$G$212,Rótulos!$A$5:$A$212,$A14,Rótulos!$B$5:$B$212,$B14,Rótulos!$C$5:$C$212,$C14,Rótulos!$H$5:$H$212,$D14,Rótulos!$I$5:$I$212,$E14,Rótulos!$F$5:$F$212,"B2C")</f>
        <v>100</v>
      </c>
      <c r="I14" s="16" t="n">
        <f aca="false">SUMIFS(Rótulos!$G$5:$G$212,Rótulos!$A$5:$A$212,$A14,Rótulos!$B$5:$B$212,$B14,Rótulos!$C$5:$C$212,$C14,Rótulos!$H$5:$H$212,$D14,Rótulos!$I$5:$I$212,$E14,Rótulos!$F$5:$F$212,"B2B")</f>
        <v>0</v>
      </c>
      <c r="J14" s="17" t="n">
        <f aca="false">H14+I14</f>
        <v>100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500</v>
      </c>
      <c r="D15" s="4" t="s">
        <v>24</v>
      </c>
      <c r="E15" s="4" t="s">
        <v>31</v>
      </c>
      <c r="F15" s="4" t="s">
        <v>35</v>
      </c>
      <c r="G15" s="4" t="s">
        <v>15</v>
      </c>
      <c r="H15" s="16" t="n">
        <f aca="false">SUMIFS(Rótulos!$G$5:$G$212,Rótulos!$A$5:$A$212,$A15,Rótulos!$B$5:$B$212,$B15,Rótulos!$C$5:$C$212,$C15,Rótulos!$H$5:$H$212,$D15,Rótulos!$I$5:$I$212,$E15,Rótulos!$F$5:$F$212,"B2C")</f>
        <v>10</v>
      </c>
      <c r="I15" s="16" t="n">
        <f aca="false">SUMIFS(Rótulos!$G$5:$G$212,Rótulos!$A$5:$A$212,$A15,Rótulos!$B$5:$B$212,$B15,Rótulos!$C$5:$C$212,$C15,Rótulos!$H$5:$H$212,$D15,Rótulos!$I$5:$I$212,$E15,Rótulos!$F$5:$F$212,"B2B")</f>
        <v>0</v>
      </c>
      <c r="J15" s="17" t="n">
        <f aca="false">H15+I15</f>
        <v>10</v>
      </c>
    </row>
    <row r="16" customFormat="false" ht="15" hidden="false" customHeight="false" outlineLevel="0" collapsed="false">
      <c r="A16" s="4" t="s">
        <v>28</v>
      </c>
      <c r="B16" s="4" t="s">
        <v>29</v>
      </c>
      <c r="C16" s="4" t="n">
        <v>15</v>
      </c>
      <c r="D16" s="4" t="s">
        <v>16</v>
      </c>
      <c r="E16" s="4" t="s">
        <v>17</v>
      </c>
      <c r="F16" s="4" t="s">
        <v>36</v>
      </c>
      <c r="G16" s="4" t="s">
        <v>15</v>
      </c>
      <c r="H16" s="16" t="n">
        <f aca="false">SUMIFS(Rótulos!$G$5:$G$212,Rótulos!$A$5:$A$212,$A16,Rótulos!$B$5:$B$212,$B16,Rótulos!$C$5:$C$212,$C16,Rótulos!$H$5:$H$212,$D16,Rótulos!$I$5:$I$212,$E16,Rótulos!$F$5:$F$212,"B2C")</f>
        <v>100</v>
      </c>
      <c r="I16" s="16" t="n">
        <f aca="false">SUMIFS(Rótulos!$G$5:$G$212,Rótulos!$A$5:$A$212,$A16,Rótulos!$B$5:$B$212,$B16,Rótulos!$C$5:$C$212,$C16,Rótulos!$H$5:$H$212,$D16,Rótulos!$I$5:$I$212,$E16,Rótulos!$F$5:$F$212,"B2B")</f>
        <v>0</v>
      </c>
      <c r="J16" s="17" t="n">
        <f aca="false">H16+I16</f>
        <v>100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100</v>
      </c>
      <c r="D17" s="4" t="s">
        <v>24</v>
      </c>
      <c r="E17" s="4" t="s">
        <v>34</v>
      </c>
      <c r="F17" s="4" t="s">
        <v>36</v>
      </c>
      <c r="G17" s="4" t="s">
        <v>15</v>
      </c>
      <c r="H17" s="16" t="n">
        <f aca="false">SUMIFS(Rótulos!$G$5:$G$212,Rótulos!$A$5:$A$212,$A17,Rótulos!$B$5:$B$212,$B17,Rótulos!$C$5:$C$212,$C17,Rótulos!$H$5:$H$212,$D17,Rótulos!$I$5:$I$212,$E17,Rótulos!$F$5:$F$212,"B2C")</f>
        <v>30</v>
      </c>
      <c r="I17" s="16" t="n">
        <f aca="false">SUMIFS(Rótulos!$G$5:$G$212,Rótulos!$A$5:$A$212,$A17,Rótulos!$B$5:$B$212,$B17,Rótulos!$C$5:$C$212,$C17,Rótulos!$H$5:$H$212,$D17,Rótulos!$I$5:$I$212,$E17,Rótulos!$F$5:$F$212,"B2B")</f>
        <v>0</v>
      </c>
      <c r="J17" s="17" t="n">
        <f aca="false">H17+I17</f>
        <v>30</v>
      </c>
    </row>
    <row r="18" customFormat="false" ht="15" hidden="false" customHeight="false" outlineLevel="0" collapsed="false">
      <c r="A18" s="4" t="s">
        <v>28</v>
      </c>
      <c r="B18" s="4" t="s">
        <v>18</v>
      </c>
      <c r="C18" s="4" t="n">
        <v>250</v>
      </c>
      <c r="D18" s="4" t="s">
        <v>16</v>
      </c>
      <c r="E18" s="4" t="s">
        <v>21</v>
      </c>
      <c r="F18" s="4" t="s">
        <v>117</v>
      </c>
      <c r="G18" s="4" t="s">
        <v>15</v>
      </c>
      <c r="H18" s="16" t="n">
        <f aca="false">SUMIFS(Rótulos!$G$5:$G$212,Rótulos!$A$5:$A$212,$A18,Rótulos!$B$5:$B$212,$B18,Rótulos!$C$5:$C$212,$C18,Rótulos!$H$5:$H$212,$D18,Rótulos!$I$5:$I$212,$E18,Rótulos!$F$5:$F$212,"B2C")</f>
        <v>16</v>
      </c>
      <c r="I18" s="16" t="n">
        <f aca="false">SUMIFS(Rótulos!$G$5:$G$212,Rótulos!$A$5:$A$212,$A18,Rótulos!$B$5:$B$212,$B18,Rótulos!$C$5:$C$212,$C18,Rótulos!$H$5:$H$212,$D18,Rótulos!$I$5:$I$212,$E18,Rótulos!$F$5:$F$212,"B2B")</f>
        <v>0</v>
      </c>
      <c r="J18" s="17" t="n">
        <f aca="false">H18+I18</f>
        <v>16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24</v>
      </c>
      <c r="E19" s="4" t="s">
        <v>25</v>
      </c>
      <c r="F19" s="4" t="s">
        <v>23</v>
      </c>
      <c r="G19" s="4" t="s">
        <v>15</v>
      </c>
      <c r="H19" s="16" t="n">
        <f aca="false">SUMIFS(Rótulos!$G$5:$G$212,Rótulos!$A$5:$A$212,$A19,Rótulos!$B$5:$B$212,$B19,Rótulos!$C$5:$C$212,$C19,Rótulos!$H$5:$H$212,$D19,Rótulos!$I$5:$I$212,$E19,Rótulos!$F$5:$F$212,"B2C")</f>
        <v>2</v>
      </c>
      <c r="I19" s="16" t="n">
        <f aca="false">SUMIFS(Rótulos!$G$5:$G$212,Rótulos!$A$5:$A$212,$A19,Rótulos!$B$5:$B$212,$B19,Rótulos!$C$5:$C$212,$C19,Rótulos!$H$5:$H$212,$D19,Rótulos!$I$5:$I$212,$E19,Rótulos!$F$5:$F$212,"B2B")</f>
        <v>0</v>
      </c>
      <c r="J19" s="17" t="n">
        <f aca="false">H19+I19</f>
        <v>2</v>
      </c>
    </row>
    <row r="20" customFormat="false" ht="15" hidden="false" customHeight="false" outlineLevel="0" collapsed="false">
      <c r="A20" s="4" t="s">
        <v>37</v>
      </c>
      <c r="B20" s="4" t="s">
        <v>29</v>
      </c>
      <c r="C20" s="4" t="n">
        <v>400</v>
      </c>
      <c r="D20" s="4" t="s">
        <v>24</v>
      </c>
      <c r="E20" s="4" t="s">
        <v>31</v>
      </c>
      <c r="F20" s="4" t="s">
        <v>29</v>
      </c>
      <c r="G20" s="4" t="s">
        <v>30</v>
      </c>
      <c r="H20" s="16" t="n">
        <f aca="false">SUMIFS(Rótulos!$G$5:$G$212,Rótulos!$A$5:$A$212,$A20,Rótulos!$B$5:$B$212,$B20,Rótulos!$C$5:$C$212,$C20,Rótulos!$H$5:$H$212,$D20,Rótulos!$I$5:$I$212,$E20,Rótulos!$F$5:$F$212,"B2C")</f>
        <v>0</v>
      </c>
      <c r="I20" s="16" t="n">
        <f aca="false">SUMIFS(Rótulos!$G$5:$G$212,Rótulos!$A$5:$A$212,$A20,Rótulos!$B$5:$B$212,$B20,Rótulos!$C$5:$C$212,$C20,Rótulos!$H$5:$H$212,$D20,Rótulos!$I$5:$I$212,$E20,Rótulos!$F$5:$F$212,"B2B")</f>
        <v>4</v>
      </c>
      <c r="J20" s="17" t="n">
        <f aca="false">H20+I20</f>
        <v>4</v>
      </c>
    </row>
    <row r="21" customFormat="false" ht="15" hidden="false" customHeight="false" outlineLevel="0" collapsed="false">
      <c r="A21" s="4" t="s">
        <v>37</v>
      </c>
      <c r="B21" s="4" t="s">
        <v>29</v>
      </c>
      <c r="C21" s="4" t="n">
        <v>1000</v>
      </c>
      <c r="D21" s="4" t="s">
        <v>24</v>
      </c>
      <c r="E21" s="4" t="s">
        <v>32</v>
      </c>
      <c r="F21" s="4" t="s">
        <v>29</v>
      </c>
      <c r="G21" s="4" t="s">
        <v>30</v>
      </c>
      <c r="H21" s="16" t="n">
        <f aca="false">SUMIFS(Rótulos!$G$5:$G$212,Rótulos!$A$5:$A$212,$A21,Rótulos!$B$5:$B$212,$B21,Rótulos!$C$5:$C$212,$C21,Rótulos!$H$5:$H$212,$D21,Rótulos!$I$5:$I$212,$E21,Rótulos!$F$5:$F$212,"B2C")</f>
        <v>0</v>
      </c>
      <c r="I21" s="16" t="n">
        <f aca="false">SUMIFS(Rótulos!$G$5:$G$212,Rótulos!$A$5:$A$212,$A21,Rótulos!$B$5:$B$212,$B21,Rótulos!$C$5:$C$212,$C21,Rótulos!$H$5:$H$212,$D21,Rótulos!$I$5:$I$212,$E21,Rótulos!$F$5:$F$212,"B2B")</f>
        <v>15</v>
      </c>
      <c r="J21" s="17" t="n">
        <f aca="false">H21+I21</f>
        <v>15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5000</v>
      </c>
      <c r="D22" s="4" t="s">
        <v>24</v>
      </c>
      <c r="E22" s="4" t="s">
        <v>110</v>
      </c>
      <c r="F22" s="4" t="s">
        <v>29</v>
      </c>
      <c r="G22" s="4" t="s">
        <v>30</v>
      </c>
      <c r="H22" s="16" t="n">
        <f aca="false">SUMIFS(Rótulos!$G$5:$G$212,Rótulos!$A$5:$A$212,$A22,Rótulos!$B$5:$B$212,$B22,Rótulos!$C$5:$C$212,$C22,Rótulos!$H$5:$H$212,$D22,Rótulos!$I$5:$I$212,"=",Rótulos!$F$5:$F$212,"B2C")</f>
        <v>0</v>
      </c>
      <c r="I22" s="16" t="n">
        <f aca="false">SUMIFS(Rótulos!$G$5:$G$212,Rótulos!$A$5:$A$212,$A22,Rótulos!$B$5:$B$212,$B22,Rótulos!$C$5:$C$212,$C22,Rótulos!$H$5:$H$212,$D22,Rótulos!$I$5:$I$212,"=",Rótulos!$F$5:$F$212,"B2B")</f>
        <v>8</v>
      </c>
      <c r="J22" s="17" t="n">
        <f aca="false">H22+I22</f>
        <v>8</v>
      </c>
    </row>
    <row r="23" customFormat="false" ht="15" hidden="false" customHeight="false" outlineLevel="0" collapsed="false">
      <c r="A23" s="4" t="s">
        <v>38</v>
      </c>
      <c r="B23" s="4" t="s">
        <v>29</v>
      </c>
      <c r="C23" s="4" t="n">
        <v>400</v>
      </c>
      <c r="D23" s="4" t="s">
        <v>24</v>
      </c>
      <c r="E23" s="4" t="s">
        <v>31</v>
      </c>
      <c r="F23" s="4" t="s">
        <v>29</v>
      </c>
      <c r="G23" s="4" t="s">
        <v>30</v>
      </c>
      <c r="H23" s="16" t="n">
        <f aca="false">SUMIFS(Rótulos!$G$5:$G$212,Rótulos!$A$5:$A$212,$A23,Rótulos!$B$5:$B$212,$B23,Rótulos!$C$5:$C$212,$C23,Rótulos!$H$5:$H$212,$D23,Rótulos!$I$5:$I$212,$E23,Rótulos!$F$5:$F$212,"B2C")</f>
        <v>0</v>
      </c>
      <c r="I23" s="16" t="n">
        <f aca="false">SUMIFS(Rótulos!$G$5:$G$212,Rótulos!$A$5:$A$212,$A23,Rótulos!$B$5:$B$212,$B23,Rótulos!$C$5:$C$212,$C23,Rótulos!$H$5:$H$212,$D23,Rótulos!$I$5:$I$212,$E23,Rótulos!$F$5:$F$212,"B2B")</f>
        <v>14</v>
      </c>
      <c r="J23" s="17" t="n">
        <f aca="false">H23+I23</f>
        <v>14</v>
      </c>
    </row>
    <row r="24" customFormat="false" ht="15" hidden="false" customHeight="false" outlineLevel="0" collapsed="false">
      <c r="A24" s="4" t="s">
        <v>38</v>
      </c>
      <c r="B24" s="4" t="s">
        <v>29</v>
      </c>
      <c r="C24" s="4" t="n">
        <v>1000</v>
      </c>
      <c r="D24" s="4" t="s">
        <v>24</v>
      </c>
      <c r="E24" s="4" t="s">
        <v>32</v>
      </c>
      <c r="F24" s="4" t="s">
        <v>29</v>
      </c>
      <c r="G24" s="4" t="s">
        <v>30</v>
      </c>
      <c r="H24" s="16" t="n">
        <f aca="false">SUMIFS(Rótulos!$G$5:$G$212,Rótulos!$A$5:$A$212,$A24,Rótulos!$B$5:$B$212,$B24,Rótulos!$C$5:$C$212,$C24,Rótulos!$H$5:$H$212,$D24,Rótulos!$I$5:$I$212,$E24,Rótulos!$F$5:$F$212,"B2C")</f>
        <v>0</v>
      </c>
      <c r="I24" s="16" t="n">
        <f aca="false">SUMIFS(Rótulos!$G$5:$G$212,Rótulos!$A$5:$A$212,$A24,Rótulos!$B$5:$B$212,$B24,Rótulos!$C$5:$C$212,$C24,Rótulos!$H$5:$H$212,$D24,Rótulos!$I$5:$I$212,$E24,Rótulos!$F$5:$F$212,"B2B")</f>
        <v>6</v>
      </c>
      <c r="J24" s="17" t="n">
        <f aca="false">H24+I24</f>
        <v>6</v>
      </c>
    </row>
    <row r="25" customFormat="false" ht="15" hidden="false" customHeight="false" outlineLevel="0" collapsed="false">
      <c r="A25" s="4" t="s">
        <v>38</v>
      </c>
      <c r="B25" s="4" t="s">
        <v>33</v>
      </c>
      <c r="C25" s="4" t="n">
        <v>100</v>
      </c>
      <c r="D25" s="4" t="s">
        <v>24</v>
      </c>
      <c r="E25" s="4" t="s">
        <v>34</v>
      </c>
      <c r="F25" s="4" t="s">
        <v>33</v>
      </c>
      <c r="G25" s="4" t="s">
        <v>30</v>
      </c>
      <c r="H25" s="16" t="n">
        <f aca="false">SUMIFS(Rótulos!$G$5:$G$212,Rótulos!$A$5:$A$212,$A25,Rótulos!$B$5:$B$212,$B25,Rótulos!$C$5:$C$212,$C25,Rótulos!$H$5:$H$212,$D25,Rótulos!$I$5:$I$212,$E25,Rótulos!$F$5:$F$212,"B2C")</f>
        <v>0</v>
      </c>
      <c r="I25" s="16" t="n">
        <f aca="false">SUMIFS(Rótulos!$G$5:$G$212,Rótulos!$A$5:$A$212,$A25,Rótulos!$B$5:$B$212,$B25,Rótulos!$C$5:$C$212,$C25,Rótulos!$H$5:$H$212,$D25,Rótulos!$I$5:$I$212,$E25,Rótulos!$F$5:$F$212,"B2B")</f>
        <v>37</v>
      </c>
      <c r="J25" s="17" t="n">
        <f aca="false">H25+I25</f>
        <v>37</v>
      </c>
    </row>
    <row r="26" customFormat="false" ht="15" hidden="false" customHeight="false" outlineLevel="0" collapsed="false">
      <c r="A26" s="4" t="s">
        <v>38</v>
      </c>
      <c r="B26" s="4" t="s">
        <v>33</v>
      </c>
      <c r="C26" s="4" t="n">
        <v>500</v>
      </c>
      <c r="D26" s="4" t="s">
        <v>24</v>
      </c>
      <c r="E26" s="4" t="s">
        <v>31</v>
      </c>
      <c r="F26" s="4" t="s">
        <v>33</v>
      </c>
      <c r="G26" s="4" t="s">
        <v>30</v>
      </c>
      <c r="H26" s="16" t="n">
        <f aca="false">SUMIFS(Rótulos!$G$5:$G$212,Rótulos!$A$5:$A$212,$A26,Rótulos!$B$5:$B$212,$B26,Rótulos!$C$5:$C$212,$C26,Rótulos!$H$5:$H$212,$D26,Rótulos!$I$5:$I$212,$E26,Rótulos!$F$5:$F$212,"B2C")</f>
        <v>0</v>
      </c>
      <c r="I26" s="16" t="n">
        <f aca="false">SUMIFS(Rótulos!$G$5:$G$212,Rótulos!$A$5:$A$212,$A26,Rótulos!$B$5:$B$212,$B26,Rótulos!$C$5:$C$212,$C26,Rótulos!$H$5:$H$212,$D26,Rótulos!$I$5:$I$212,$E26,Rótulos!$F$5:$F$212,"B2B")</f>
        <v>43</v>
      </c>
      <c r="J26" s="17" t="n">
        <f aca="false">H26+I26</f>
        <v>43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1000</v>
      </c>
      <c r="D27" s="4" t="s">
        <v>24</v>
      </c>
      <c r="E27" s="4" t="s">
        <v>32</v>
      </c>
      <c r="F27" s="4" t="s">
        <v>33</v>
      </c>
      <c r="G27" s="4" t="s">
        <v>30</v>
      </c>
      <c r="H27" s="16" t="n">
        <f aca="false">SUMIFS(Rótulos!$G$5:$G$212,Rótulos!$A$5:$A$212,$A27,Rótulos!$B$5:$B$212,$B27,Rótulos!$C$5:$C$212,$C27,Rótulos!$H$5:$H$212,$D27,Rótulos!$I$5:$I$212,$E27,Rótulos!$F$5:$F$212,"B2C")</f>
        <v>0</v>
      </c>
      <c r="I27" s="16" t="n">
        <f aca="false">SUMIFS(Rótulos!$G$5:$G$212,Rótulos!$A$5:$A$212,$A27,Rótulos!$B$5:$B$212,$B27,Rótulos!$C$5:$C$212,$C27,Rótulos!$H$5:$H$212,$D27,Rótulos!$I$5:$I$212,$E27,Rótulos!$F$5:$F$212,"B2B")</f>
        <v>4</v>
      </c>
      <c r="J27" s="17" t="n">
        <f aca="false">H27+I27</f>
        <v>4</v>
      </c>
    </row>
    <row r="28" customFormat="false" ht="15" hidden="false" customHeight="false" outlineLevel="0" collapsed="false">
      <c r="A28" s="25" t="s">
        <v>38</v>
      </c>
      <c r="B28" s="25" t="s">
        <v>18</v>
      </c>
      <c r="C28" s="25" t="n">
        <v>250</v>
      </c>
      <c r="D28" s="25" t="s">
        <v>24</v>
      </c>
      <c r="E28" s="25" t="s">
        <v>25</v>
      </c>
      <c r="F28" s="25" t="s">
        <v>193</v>
      </c>
      <c r="G28" s="25" t="s">
        <v>192</v>
      </c>
      <c r="H28" s="26" t="n">
        <f aca="false">SUMIFS(Rótulos!$G$5:$G$212,Rótulos!$A$5:$A$212,$A28,Rótulos!$B$5:$B$212,$B28,Rótulos!$C$5:$C$212,$C28,Rótulos!$H$5:$H$212,$D28,Rótulos!$I$5:$I$212,$E28,Rótulos!$F$5:$F$212,"B2C")</f>
        <v>2</v>
      </c>
      <c r="I28" s="26" t="n">
        <f aca="false">SUMIFS(Rótulos!$G$5:$G$212,Rótulos!$A$5:$A$212,$A28,Rótulos!$B$5:$B$212,$B28,Rótulos!$C$5:$C$212,$C28,Rótulos!$H$5:$H$212,$D28,Rótulos!$I$5:$I$212,$E28,Rótulos!$F$5:$F$212,"B2B")</f>
        <v>36</v>
      </c>
      <c r="J28" s="27" t="n">
        <f aca="false">H28+I28</f>
        <v>38</v>
      </c>
    </row>
    <row r="29" customFormat="false" ht="15" hidden="false" customHeight="false" outlineLevel="0" collapsed="false">
      <c r="A29" s="4" t="s">
        <v>38</v>
      </c>
      <c r="B29" s="4" t="s">
        <v>12</v>
      </c>
      <c r="C29" s="4" t="n">
        <v>15</v>
      </c>
      <c r="D29" s="4" t="s">
        <v>16</v>
      </c>
      <c r="E29" s="4" t="s">
        <v>17</v>
      </c>
      <c r="F29" s="4" t="s">
        <v>14</v>
      </c>
      <c r="G29" s="4" t="s">
        <v>15</v>
      </c>
      <c r="H29" s="16" t="n">
        <f aca="false">SUMIFS(Rótulos!$G$5:$G$212,Rótulos!$A$5:$A$212,$A29,Rótulos!$B$5:$B$212,$B29,Rótulos!$C$5:$C$212,$C29,Rótulos!$H$5:$H$212,$D29,Rótulos!$I$5:$I$212,$E29,Rótulos!$F$5:$F$212,"B2C")</f>
        <v>100</v>
      </c>
      <c r="I29" s="16" t="n">
        <f aca="false">SUMIFS(Rótulos!$G$5:$G$212,Rótulos!$A$5:$A$212,$A29,Rótulos!$B$5:$B$212,$B29,Rótulos!$C$5:$C$212,$C29,Rótulos!$H$5:$H$212,$D29,Rótulos!$I$5:$I$212,$E29,Rótulos!$F$5:$F$212,"B2B")</f>
        <v>0</v>
      </c>
      <c r="J29" s="17" t="n">
        <f aca="false">H29+I29</f>
        <v>100</v>
      </c>
    </row>
    <row r="30" customFormat="false" ht="15" hidden="false" customHeight="false" outlineLevel="0" collapsed="false">
      <c r="A30" s="4" t="s">
        <v>38</v>
      </c>
      <c r="B30" s="4" t="s">
        <v>12</v>
      </c>
      <c r="C30" s="4" t="n">
        <v>500</v>
      </c>
      <c r="D30" s="4" t="s">
        <v>24</v>
      </c>
      <c r="E30" s="4" t="s">
        <v>31</v>
      </c>
      <c r="F30" s="4" t="s">
        <v>35</v>
      </c>
      <c r="G30" s="4" t="s">
        <v>15</v>
      </c>
      <c r="H30" s="16" t="n">
        <f aca="false">SUMIFS(Rótulos!$G$5:$G$212,Rótulos!$A$5:$A$212,$A30,Rótulos!$B$5:$B$212,$B30,Rótulos!$C$5:$C$212,$C30,Rótulos!$H$5:$H$212,$D30,Rótulos!$I$5:$I$212,$E30,Rótulos!$F$5:$F$212,"B2C")</f>
        <v>10</v>
      </c>
      <c r="I30" s="16" t="n">
        <f aca="false">SUMIFS(Rótulos!$G$5:$G$212,Rótulos!$A$5:$A$212,$A30,Rótulos!$B$5:$B$212,$B30,Rótulos!$C$5:$C$212,$C30,Rótulos!$H$5:$H$212,$D30,Rótulos!$I$5:$I$212,$E30,Rótulos!$F$5:$F$212,"B2B")</f>
        <v>0</v>
      </c>
      <c r="J30" s="17" t="n">
        <f aca="false">H30+I30</f>
        <v>10</v>
      </c>
    </row>
    <row r="31" customFormat="false" ht="15" hidden="false" customHeight="false" outlineLevel="0" collapsed="false">
      <c r="A31" s="4" t="s">
        <v>38</v>
      </c>
      <c r="B31" s="4" t="s">
        <v>29</v>
      </c>
      <c r="C31" s="4" t="n">
        <v>15</v>
      </c>
      <c r="D31" s="4" t="s">
        <v>16</v>
      </c>
      <c r="E31" s="4" t="s">
        <v>17</v>
      </c>
      <c r="F31" s="4" t="s">
        <v>36</v>
      </c>
      <c r="G31" s="4" t="s">
        <v>15</v>
      </c>
      <c r="H31" s="16" t="n">
        <f aca="false">SUMIFS(Rótulos!$G$5:$G$212,Rótulos!$A$5:$A$212,$A31,Rótulos!$B$5:$B$212,$B31,Rótulos!$C$5:$C$212,$C31,Rótulos!$H$5:$H$212,$D31,Rótulos!$I$5:$I$212,$E31,Rótulos!$F$5:$F$212,"B2C")</f>
        <v>100</v>
      </c>
      <c r="I31" s="16" t="n">
        <f aca="false">SUMIFS(Rótulos!$G$5:$G$212,Rótulos!$A$5:$A$212,$A31,Rótulos!$B$5:$B$212,$B31,Rótulos!$C$5:$C$212,$C31,Rótulos!$H$5:$H$212,$D31,Rótulos!$I$5:$I$212,$E31,Rótulos!$F$5:$F$212,"B2B")</f>
        <v>0</v>
      </c>
      <c r="J31" s="17" t="n">
        <f aca="false">H31+I31</f>
        <v>100</v>
      </c>
    </row>
    <row r="32" customFormat="false" ht="15" hidden="false" customHeight="false" outlineLevel="0" collapsed="false">
      <c r="A32" s="4" t="s">
        <v>38</v>
      </c>
      <c r="B32" s="4" t="s">
        <v>29</v>
      </c>
      <c r="C32" s="4" t="n">
        <v>100</v>
      </c>
      <c r="D32" s="4" t="s">
        <v>24</v>
      </c>
      <c r="E32" s="4" t="s">
        <v>34</v>
      </c>
      <c r="F32" s="4" t="s">
        <v>36</v>
      </c>
      <c r="G32" s="4" t="s">
        <v>15</v>
      </c>
      <c r="H32" s="16" t="n">
        <f aca="false">SUMIFS(Rótulos!$G$5:$G$212,Rótulos!$A$5:$A$212,$A32,Rótulos!$B$5:$B$212,$B32,Rótulos!$C$5:$C$212,$C32,Rótulos!$H$5:$H$212,$D32,Rótulos!$I$5:$I$212,$E32,Rótulos!$F$5:$F$212,"B2C")</f>
        <v>30</v>
      </c>
      <c r="I32" s="16" t="n">
        <f aca="false">SUMIFS(Rótulos!$G$5:$G$212,Rótulos!$A$5:$A$212,$A32,Rótulos!$B$5:$B$212,$B32,Rótulos!$C$5:$C$212,$C32,Rótulos!$H$5:$H$212,$D32,Rótulos!$I$5:$I$212,$E32,Rótulos!$F$5:$F$212,"B2B")</f>
        <v>0</v>
      </c>
      <c r="J32" s="17" t="n">
        <f aca="false">H32+I32</f>
        <v>30</v>
      </c>
    </row>
    <row r="33" customFormat="false" ht="15" hidden="false" customHeight="false" outlineLevel="0" collapsed="false">
      <c r="A33" s="4" t="s">
        <v>38</v>
      </c>
      <c r="B33" s="4" t="s">
        <v>18</v>
      </c>
      <c r="C33" s="4" t="n">
        <v>250</v>
      </c>
      <c r="D33" s="4" t="s">
        <v>16</v>
      </c>
      <c r="E33" s="4" t="s">
        <v>21</v>
      </c>
      <c r="F33" s="4" t="s">
        <v>117</v>
      </c>
      <c r="G33" s="4" t="s">
        <v>15</v>
      </c>
      <c r="H33" s="16" t="n">
        <f aca="false">SUMIFS(Rótulos!$G$5:$G$212,Rótulos!$A$5:$A$212,$A33,Rótulos!$B$5:$B$212,$B33,Rótulos!$C$5:$C$212,$C33,Rótulos!$H$5:$H$212,$D33,Rótulos!$I$5:$I$212,$E33,Rótulos!$F$5:$F$212,"B2C")</f>
        <v>16</v>
      </c>
      <c r="I33" s="16" t="n">
        <f aca="false">SUMIFS(Rótulos!$G$5:$G$212,Rótulos!$A$5:$A$212,$A33,Rótulos!$B$5:$B$212,$B33,Rótulos!$C$5:$C$212,$C33,Rótulos!$H$5:$H$212,$D33,Rótulos!$I$5:$I$212,$E33,Rótulos!$F$5:$F$212,"B2B")</f>
        <v>0</v>
      </c>
      <c r="J33" s="17" t="n">
        <f aca="false">H33+I33</f>
        <v>16</v>
      </c>
    </row>
    <row r="34" customFormat="false" ht="15" hidden="false" customHeight="false" outlineLevel="0" collapsed="false">
      <c r="A34" s="4" t="s">
        <v>39</v>
      </c>
      <c r="B34" s="4" t="s">
        <v>33</v>
      </c>
      <c r="C34" s="4" t="n">
        <v>100</v>
      </c>
      <c r="D34" s="4" t="s">
        <v>24</v>
      </c>
      <c r="E34" s="4" t="s">
        <v>34</v>
      </c>
      <c r="F34" s="4" t="s">
        <v>33</v>
      </c>
      <c r="G34" s="4" t="s">
        <v>30</v>
      </c>
      <c r="H34" s="16" t="n">
        <f aca="false">SUMIFS(Rótulos!$G$5:$G$212,Rótulos!$A$5:$A$212,$A34,Rótulos!$B$5:$B$212,$B34,Rótulos!$C$5:$C$212,$C34,Rótulos!$H$5:$H$212,$D34,Rótulos!$I$5:$I$212,$E34,Rótulos!$F$5:$F$212,"B2C")</f>
        <v>0</v>
      </c>
      <c r="I34" s="16" t="n">
        <f aca="false">SUMIFS(Rótulos!$G$5:$G$212,Rótulos!$A$5:$A$212,$A34,Rótulos!$B$5:$B$212,$B34,Rótulos!$C$5:$C$212,$C34,Rótulos!$H$5:$H$212,$D34,Rótulos!$I$5:$I$212,$E34,Rótulos!$F$5:$F$212,"B2B")</f>
        <v>8</v>
      </c>
      <c r="J34" s="17" t="n">
        <f aca="false">H34+I34</f>
        <v>8</v>
      </c>
    </row>
    <row r="35" customFormat="false" ht="15" hidden="false" customHeight="false" outlineLevel="0" collapsed="false">
      <c r="A35" s="4" t="s">
        <v>40</v>
      </c>
      <c r="B35" s="4" t="s">
        <v>33</v>
      </c>
      <c r="C35" s="4" t="n">
        <v>500</v>
      </c>
      <c r="D35" s="4" t="s">
        <v>24</v>
      </c>
      <c r="E35" s="4" t="s">
        <v>31</v>
      </c>
      <c r="F35" s="4" t="s">
        <v>33</v>
      </c>
      <c r="G35" s="4" t="s">
        <v>30</v>
      </c>
      <c r="H35" s="16" t="n">
        <f aca="false">SUMIFS(Rótulos!$G$5:$G$212,Rótulos!$A$5:$A$212,$A35,Rótulos!$B$5:$B$212,$B35,Rótulos!$C$5:$C$212,$C35,Rótulos!$H$5:$H$212,$D35,Rótulos!$I$5:$I$212,$E35,Rótulos!$F$5:$F$212,"B2C")</f>
        <v>0</v>
      </c>
      <c r="I35" s="16" t="n">
        <f aca="false">SUMIFS(Rótulos!$G$5:$G$212,Rótulos!$A$5:$A$212,$A35,Rótulos!$B$5:$B$212,$B35,Rótulos!$C$5:$C$212,$C35,Rótulos!$H$5:$H$212,$D35,Rótulos!$I$5:$I$212,$E35,Rótulos!$F$5:$F$212,"B2B")</f>
        <v>2</v>
      </c>
      <c r="J35" s="17" t="n">
        <f aca="false">H35+I35</f>
        <v>2</v>
      </c>
    </row>
    <row r="36" customFormat="false" ht="15" hidden="false" customHeight="false" outlineLevel="0" collapsed="false">
      <c r="A36" s="4" t="s">
        <v>41</v>
      </c>
      <c r="B36" s="4" t="s">
        <v>12</v>
      </c>
      <c r="C36" s="4" t="n">
        <v>250</v>
      </c>
      <c r="D36" s="4" t="s">
        <v>24</v>
      </c>
      <c r="E36" s="4" t="s">
        <v>25</v>
      </c>
      <c r="F36" s="4" t="s">
        <v>12</v>
      </c>
      <c r="G36" s="4" t="s">
        <v>30</v>
      </c>
      <c r="H36" s="16" t="n">
        <f aca="false">SUMIFS(Rótulos!$G$5:$G$212,Rótulos!$A$5:$A$212,$A36,Rótulos!$B$5:$B$212,$B36,Rótulos!$C$5:$C$212,$C36,Rótulos!$H$5:$H$212,$D36,Rótulos!$I$5:$I$212,$E36,Rótulos!$F$5:$F$212,"B2C")</f>
        <v>0</v>
      </c>
      <c r="I36" s="16" t="n">
        <f aca="false">SUMIFS(Rótulos!$G$5:$G$212,Rótulos!$A$5:$A$212,$A36,Rótulos!$B$5:$B$212,$B36,Rótulos!$C$5:$C$212,$C36,Rótulos!$H$5:$H$212,$D36,Rótulos!$I$5:$I$212,$E36,Rótulos!$F$5:$F$212,"B2B")</f>
        <v>18</v>
      </c>
      <c r="J36" s="17" t="n">
        <f aca="false">H36+I36</f>
        <v>18</v>
      </c>
    </row>
    <row r="37" customFormat="false" ht="15" hidden="false" customHeight="false" outlineLevel="0" collapsed="false">
      <c r="A37" s="25" t="s">
        <v>41</v>
      </c>
      <c r="B37" s="25" t="s">
        <v>12</v>
      </c>
      <c r="C37" s="25" t="n">
        <v>500</v>
      </c>
      <c r="D37" s="25" t="s">
        <v>24</v>
      </c>
      <c r="E37" s="25" t="s">
        <v>31</v>
      </c>
      <c r="F37" s="25" t="s">
        <v>228</v>
      </c>
      <c r="G37" s="25" t="s">
        <v>192</v>
      </c>
      <c r="H37" s="26" t="n">
        <f aca="false">SUMIFS(Rótulos!$G$5:$G$212,Rótulos!$A$5:$A$212,$A37,Rótulos!$B$5:$B$212,$B37,Rótulos!$C$5:$C$212,$C37,Rótulos!$H$5:$H$212,$D37,Rótulos!$I$5:$I$212,$E37,Rótulos!$F$5:$F$212,"B2C")</f>
        <v>10</v>
      </c>
      <c r="I37" s="26" t="n">
        <f aca="false">SUMIFS(Rótulos!$G$5:$G$212,Rótulos!$A$5:$A$212,$A37,Rótulos!$B$5:$B$212,$B37,Rótulos!$C$5:$C$212,$C37,Rótulos!$H$5:$H$212,$D37,Rótulos!$I$5:$I$212,$E37,Rótulos!$F$5:$F$212,"B2B")</f>
        <v>40</v>
      </c>
      <c r="J37" s="27" t="n">
        <f aca="false">H37+I37</f>
        <v>50</v>
      </c>
    </row>
    <row r="38" customFormat="false" ht="15" hidden="false" customHeight="false" outlineLevel="0" collapsed="false">
      <c r="A38" s="4" t="s">
        <v>41</v>
      </c>
      <c r="B38" s="4" t="s">
        <v>33</v>
      </c>
      <c r="C38" s="4" t="n">
        <v>100</v>
      </c>
      <c r="D38" s="4" t="s">
        <v>24</v>
      </c>
      <c r="E38" s="4" t="s">
        <v>34</v>
      </c>
      <c r="F38" s="4" t="s">
        <v>33</v>
      </c>
      <c r="G38" s="4" t="s">
        <v>30</v>
      </c>
      <c r="H38" s="16" t="n">
        <f aca="false">SUMIFS(Rótulos!$G$5:$G$212,Rótulos!$A$5:$A$212,$A38,Rótulos!$B$5:$B$212,$B38,Rótulos!$C$5:$C$212,$C38,Rótulos!$H$5:$H$212,$D38,Rótulos!$I$5:$I$212,$E38,Rótulos!$F$5:$F$212,"B2C")</f>
        <v>0</v>
      </c>
      <c r="I38" s="16" t="n">
        <f aca="false">SUMIFS(Rótulos!$G$5:$G$212,Rótulos!$A$5:$A$212,$A38,Rótulos!$B$5:$B$212,$B38,Rótulos!$C$5:$C$212,$C38,Rótulos!$H$5:$H$212,$D38,Rótulos!$I$5:$I$212,$E38,Rótulos!$F$5:$F$212,"B2B")</f>
        <v>45</v>
      </c>
      <c r="J38" s="17" t="n">
        <f aca="false">H38+I38</f>
        <v>45</v>
      </c>
    </row>
    <row r="39" customFormat="false" ht="15" hidden="false" customHeight="false" outlineLevel="0" collapsed="false">
      <c r="A39" s="4" t="s">
        <v>41</v>
      </c>
      <c r="B39" s="4" t="s">
        <v>33</v>
      </c>
      <c r="C39" s="4" t="n">
        <v>500</v>
      </c>
      <c r="D39" s="4" t="s">
        <v>24</v>
      </c>
      <c r="E39" s="4" t="s">
        <v>31</v>
      </c>
      <c r="F39" s="4" t="s">
        <v>33</v>
      </c>
      <c r="G39" s="4" t="s">
        <v>30</v>
      </c>
      <c r="H39" s="16" t="n">
        <f aca="false">SUMIFS(Rótulos!$G$5:$G$212,Rótulos!$A$5:$A$212,$A39,Rótulos!$B$5:$B$212,$B39,Rótulos!$C$5:$C$212,$C39,Rótulos!$H$5:$H$212,$D39,Rótulos!$I$5:$I$212,$E39,Rótulos!$F$5:$F$212,"B2C")</f>
        <v>0</v>
      </c>
      <c r="I39" s="16" t="n">
        <f aca="false">SUMIFS(Rótulos!$G$5:$G$212,Rótulos!$A$5:$A$212,$A39,Rótulos!$B$5:$B$212,$B39,Rótulos!$C$5:$C$212,$C39,Rótulos!$H$5:$H$212,$D39,Rótulos!$I$5:$I$212,$E39,Rótulos!$F$5:$F$212,"B2B")</f>
        <v>4</v>
      </c>
      <c r="J39" s="17" t="n">
        <f aca="false">H39+I39</f>
        <v>4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15</v>
      </c>
      <c r="D40" s="4" t="s">
        <v>16</v>
      </c>
      <c r="E40" s="4" t="s">
        <v>17</v>
      </c>
      <c r="F40" s="4" t="s">
        <v>14</v>
      </c>
      <c r="G40" s="4" t="s">
        <v>15</v>
      </c>
      <c r="H40" s="16" t="n">
        <f aca="false">SUMIFS(Rótulos!$G$5:$G$212,Rótulos!$A$5:$A$212,$A40,Rótulos!$B$5:$B$212,$B40,Rótulos!$C$5:$C$212,$C40,Rótulos!$H$5:$H$212,$D40,Rótulos!$I$5:$I$212,$E40,Rótulos!$F$5:$F$212,"B2C")</f>
        <v>100</v>
      </c>
      <c r="I40" s="16" t="n">
        <f aca="false">SUMIFS(Rótulos!$G$5:$G$212,Rótulos!$A$5:$A$212,$A40,Rótulos!$B$5:$B$212,$B40,Rótulos!$C$5:$C$212,$C40,Rótulos!$H$5:$H$212,$D40,Rótulos!$I$5:$I$212,$E40,Rótulos!$F$5:$F$212,"B2B")</f>
        <v>0</v>
      </c>
      <c r="J40" s="17" t="n">
        <f aca="false">H40+I40</f>
        <v>100</v>
      </c>
    </row>
    <row r="41" customFormat="false" ht="15" hidden="false" customHeight="false" outlineLevel="0" collapsed="false">
      <c r="A41" s="4" t="s">
        <v>41</v>
      </c>
      <c r="B41" s="4" t="s">
        <v>29</v>
      </c>
      <c r="C41" s="4" t="n">
        <v>15</v>
      </c>
      <c r="D41" s="4" t="s">
        <v>16</v>
      </c>
      <c r="E41" s="4" t="s">
        <v>17</v>
      </c>
      <c r="F41" s="4" t="s">
        <v>36</v>
      </c>
      <c r="G41" s="4" t="s">
        <v>15</v>
      </c>
      <c r="H41" s="16" t="n">
        <f aca="false">SUMIFS(Rótulos!$G$5:$G$212,Rótulos!$A$5:$A$212,$A41,Rótulos!$B$5:$B$212,$B41,Rótulos!$C$5:$C$212,$C41,Rótulos!$H$5:$H$212,$D41,Rótulos!$I$5:$I$212,$E41,Rótulos!$F$5:$F$212,"B2C")</f>
        <v>100</v>
      </c>
      <c r="I41" s="16" t="n">
        <f aca="false">SUMIFS(Rótulos!$G$5:$G$212,Rótulos!$A$5:$A$212,$A41,Rótulos!$B$5:$B$212,$B41,Rótulos!$C$5:$C$212,$C41,Rótulos!$H$5:$H$212,$D41,Rótulos!$I$5:$I$212,$E41,Rótulos!$F$5:$F$212,"B2B")</f>
        <v>0</v>
      </c>
      <c r="J41" s="17" t="n">
        <f aca="false">H41+I41</f>
        <v>100</v>
      </c>
    </row>
    <row r="42" customFormat="false" ht="15" hidden="false" customHeight="false" outlineLevel="0" collapsed="false">
      <c r="A42" s="4" t="s">
        <v>41</v>
      </c>
      <c r="B42" s="4" t="s">
        <v>29</v>
      </c>
      <c r="C42" s="4" t="n">
        <v>100</v>
      </c>
      <c r="D42" s="4" t="s">
        <v>24</v>
      </c>
      <c r="E42" s="4" t="s">
        <v>34</v>
      </c>
      <c r="F42" s="4" t="s">
        <v>36</v>
      </c>
      <c r="G42" s="4" t="s">
        <v>15</v>
      </c>
      <c r="H42" s="16" t="n">
        <f aca="false">SUMIFS(Rótulos!$G$5:$G$212,Rótulos!$A$5:$A$212,$A42,Rótulos!$B$5:$B$212,$B42,Rótulos!$C$5:$C$212,$C42,Rótulos!$H$5:$H$212,$D42,Rótulos!$I$5:$I$212,$E42,Rótulos!$F$5:$F$212,"B2C")</f>
        <v>30</v>
      </c>
      <c r="I42" s="16" t="n">
        <f aca="false">SUMIFS(Rótulos!$G$5:$G$212,Rótulos!$A$5:$A$212,$A42,Rótulos!$B$5:$B$212,$B42,Rótulos!$C$5:$C$212,$C42,Rótulos!$H$5:$H$212,$D42,Rótulos!$I$5:$I$212,$E42,Rótulos!$F$5:$F$212,"B2B")</f>
        <v>0</v>
      </c>
      <c r="J42" s="17" t="n">
        <f aca="false">H42+I42</f>
        <v>30</v>
      </c>
    </row>
    <row r="43" customFormat="false" ht="15" hidden="false" customHeight="false" outlineLevel="0" collapsed="false">
      <c r="A43" s="4" t="s">
        <v>41</v>
      </c>
      <c r="B43" s="4" t="s">
        <v>18</v>
      </c>
      <c r="C43" s="4" t="n">
        <v>250</v>
      </c>
      <c r="D43" s="4" t="s">
        <v>16</v>
      </c>
      <c r="E43" s="4" t="s">
        <v>21</v>
      </c>
      <c r="F43" s="4" t="s">
        <v>117</v>
      </c>
      <c r="G43" s="4" t="s">
        <v>15</v>
      </c>
      <c r="H43" s="16" t="n">
        <f aca="false">SUMIFS(Rótulos!$G$5:$G$212,Rótulos!$A$5:$A$212,$A43,Rótulos!$B$5:$B$212,$B43,Rótulos!$C$5:$C$212,$C43,Rótulos!$H$5:$H$212,$D43,Rótulos!$I$5:$I$212,$E43,Rótulos!$F$5:$F$212,"B2C")</f>
        <v>16</v>
      </c>
      <c r="I43" s="16" t="n">
        <f aca="false">SUMIFS(Rótulos!$G$5:$G$212,Rótulos!$A$5:$A$212,$A43,Rótulos!$B$5:$B$212,$B43,Rótulos!$C$5:$C$212,$C43,Rótulos!$H$5:$H$212,$D43,Rótulos!$I$5:$I$212,$E43,Rótulos!$F$5:$F$212,"B2B")</f>
        <v>0</v>
      </c>
      <c r="J43" s="17" t="n">
        <f aca="false">H43+I43</f>
        <v>16</v>
      </c>
    </row>
    <row r="44" customFormat="false" ht="15" hidden="false" customHeight="false" outlineLevel="0" collapsed="false">
      <c r="A44" s="4" t="s">
        <v>41</v>
      </c>
      <c r="B44" s="4" t="s">
        <v>18</v>
      </c>
      <c r="C44" s="4" t="n">
        <v>250</v>
      </c>
      <c r="D44" s="4" t="s">
        <v>24</v>
      </c>
      <c r="E44" s="4" t="s">
        <v>25</v>
      </c>
      <c r="F44" s="4" t="s">
        <v>23</v>
      </c>
      <c r="G44" s="4" t="s">
        <v>15</v>
      </c>
      <c r="H44" s="16" t="n">
        <f aca="false">SUMIFS(Rótulos!$G$5:$G$212,Rótulos!$A$5:$A$212,$A44,Rótulos!$B$5:$B$212,$B44,Rótulos!$C$5:$C$212,$C44,Rótulos!$H$5:$H$212,$D44,Rótulos!$I$5:$I$212,$E44,Rótulos!$F$5:$F$212,"B2C")</f>
        <v>2</v>
      </c>
      <c r="I44" s="16" t="n">
        <f aca="false">SUMIFS(Rótulos!$G$5:$G$212,Rótulos!$A$5:$A$212,$A44,Rótulos!$B$5:$B$212,$B44,Rótulos!$C$5:$C$212,$C44,Rótulos!$H$5:$H$212,$D44,Rótulos!$I$5:$I$212,$E44,Rótulos!$F$5:$F$212,"B2B")</f>
        <v>0</v>
      </c>
      <c r="J44" s="17" t="n">
        <f aca="false">H44+I44</f>
        <v>2</v>
      </c>
    </row>
    <row r="45" customFormat="false" ht="15" hidden="false" customHeight="false" outlineLevel="0" collapsed="false">
      <c r="A45" s="4" t="s">
        <v>42</v>
      </c>
      <c r="B45" s="4" t="s">
        <v>29</v>
      </c>
      <c r="C45" s="4" t="n">
        <v>400</v>
      </c>
      <c r="D45" s="4" t="s">
        <v>24</v>
      </c>
      <c r="E45" s="4" t="s">
        <v>31</v>
      </c>
      <c r="F45" s="4" t="s">
        <v>29</v>
      </c>
      <c r="G45" s="4" t="s">
        <v>30</v>
      </c>
      <c r="H45" s="16" t="n">
        <f aca="false">SUMIFS(Rótulos!$G$5:$G$212,Rótulos!$A$5:$A$212,$A45,Rótulos!$B$5:$B$212,$B45,Rótulos!$C$5:$C$212,$C45,Rótulos!$H$5:$H$212,$D45,Rótulos!$I$5:$I$212,$E45,Rótulos!$F$5:$F$212,"B2C")</f>
        <v>0</v>
      </c>
      <c r="I45" s="16" t="n">
        <f aca="false">SUMIFS(Rótulos!$G$5:$G$212,Rótulos!$A$5:$A$212,$A45,Rótulos!$B$5:$B$212,$B45,Rótulos!$C$5:$C$212,$C45,Rótulos!$H$5:$H$212,$D45,Rótulos!$I$5:$I$212,$E45,Rótulos!$F$5:$F$212,"B2B")</f>
        <v>6</v>
      </c>
      <c r="J45" s="17" t="n">
        <f aca="false">H45+I45</f>
        <v>6</v>
      </c>
    </row>
    <row r="46" customFormat="false" ht="15" hidden="false" customHeight="false" outlineLevel="0" collapsed="false">
      <c r="A46" s="4" t="s">
        <v>43</v>
      </c>
      <c r="B46" s="4" t="s">
        <v>33</v>
      </c>
      <c r="C46" s="4" t="n">
        <v>100</v>
      </c>
      <c r="D46" s="4" t="s">
        <v>24</v>
      </c>
      <c r="E46" s="4" t="s">
        <v>34</v>
      </c>
      <c r="F46" s="4" t="s">
        <v>33</v>
      </c>
      <c r="G46" s="4" t="s">
        <v>30</v>
      </c>
      <c r="H46" s="16" t="n">
        <f aca="false">SUMIFS(Rótulos!$G$5:$G$212,Rótulos!$A$5:$A$212,$A46,Rótulos!$B$5:$B$212,$B46,Rótulos!$C$5:$C$212,$C46,Rótulos!$H$5:$H$212,$D46,Rótulos!$I$5:$I$212,$E46,Rótulos!$F$5:$F$212,"B2C")</f>
        <v>0</v>
      </c>
      <c r="I46" s="16" t="n">
        <f aca="false">SUMIFS(Rótulos!$G$5:$G$212,Rótulos!$A$5:$A$212,$A46,Rótulos!$B$5:$B$212,$B46,Rótulos!$C$5:$C$212,$C46,Rótulos!$H$5:$H$212,$D46,Rótulos!$I$5:$I$212,$E46,Rótulos!$F$5:$F$212,"B2B")</f>
        <v>15</v>
      </c>
      <c r="J46" s="17" t="n">
        <f aca="false">H46+I46</f>
        <v>15</v>
      </c>
    </row>
    <row r="47" customFormat="false" ht="15" hidden="false" customHeight="false" outlineLevel="0" collapsed="false">
      <c r="A47" s="4" t="s">
        <v>43</v>
      </c>
      <c r="B47" s="4" t="s">
        <v>33</v>
      </c>
      <c r="C47" s="4" t="n">
        <v>500</v>
      </c>
      <c r="D47" s="4" t="s">
        <v>24</v>
      </c>
      <c r="E47" s="4" t="s">
        <v>31</v>
      </c>
      <c r="F47" s="4" t="s">
        <v>33</v>
      </c>
      <c r="G47" s="4" t="s">
        <v>30</v>
      </c>
      <c r="H47" s="16" t="n">
        <f aca="false">SUMIFS(Rótulos!$G$5:$G$212,Rótulos!$A$5:$A$212,$A47,Rótulos!$B$5:$B$212,$B47,Rótulos!$C$5:$C$212,$C47,Rótulos!$H$5:$H$212,$D47,Rótulos!$I$5:$I$212,$E47,Rótulos!$F$5:$F$212,"B2C")</f>
        <v>0</v>
      </c>
      <c r="I47" s="16" t="n">
        <f aca="false">SUMIFS(Rótulos!$G$5:$G$212,Rótulos!$A$5:$A$212,$A47,Rótulos!$B$5:$B$212,$B47,Rótulos!$C$5:$C$212,$C47,Rótulos!$H$5:$H$212,$D47,Rótulos!$I$5:$I$212,$E47,Rótulos!$F$5:$F$212,"B2B")</f>
        <v>1</v>
      </c>
      <c r="J47" s="17" t="n">
        <f aca="false">H47+I47</f>
        <v>1</v>
      </c>
    </row>
    <row r="48" customFormat="false" ht="15" hidden="false" customHeight="false" outlineLevel="0" collapsed="false">
      <c r="A48" s="4" t="s">
        <v>43</v>
      </c>
      <c r="B48" s="4" t="s">
        <v>12</v>
      </c>
      <c r="C48" s="4" t="n">
        <v>15</v>
      </c>
      <c r="D48" s="4" t="s">
        <v>16</v>
      </c>
      <c r="E48" s="4" t="s">
        <v>17</v>
      </c>
      <c r="F48" s="4" t="s">
        <v>14</v>
      </c>
      <c r="G48" s="4" t="s">
        <v>15</v>
      </c>
      <c r="H48" s="16" t="n">
        <f aca="false">SUMIFS(Rótulos!$G$5:$G$212,Rótulos!$A$5:$A$212,$A48,Rótulos!$B$5:$B$212,$B48,Rótulos!$C$5:$C$212,$C48,Rótulos!$H$5:$H$212,$D48,Rótulos!$I$5:$I$212,$E48,Rótulos!$F$5:$F$212,"B2C")</f>
        <v>100</v>
      </c>
      <c r="I48" s="16" t="n">
        <f aca="false">SUMIFS(Rótulos!$G$5:$G$212,Rótulos!$A$5:$A$212,$A48,Rótulos!$B$5:$B$212,$B48,Rótulos!$C$5:$C$212,$C48,Rótulos!$H$5:$H$212,$D48,Rótulos!$I$5:$I$212,$E48,Rótulos!$F$5:$F$212,"B2B")</f>
        <v>0</v>
      </c>
      <c r="J48" s="17" t="n">
        <f aca="false">H48+I48</f>
        <v>100</v>
      </c>
    </row>
    <row r="49" customFormat="false" ht="15" hidden="false" customHeight="false" outlineLevel="0" collapsed="false">
      <c r="A49" s="4" t="s">
        <v>43</v>
      </c>
      <c r="B49" s="4" t="s">
        <v>12</v>
      </c>
      <c r="C49" s="4" t="n">
        <v>500</v>
      </c>
      <c r="D49" s="4" t="s">
        <v>24</v>
      </c>
      <c r="E49" s="4" t="s">
        <v>31</v>
      </c>
      <c r="F49" s="4" t="s">
        <v>35</v>
      </c>
      <c r="G49" s="4" t="s">
        <v>15</v>
      </c>
      <c r="H49" s="16" t="n">
        <f aca="false">SUMIFS(Rótulos!$G$5:$G$212,Rótulos!$A$5:$A$212,$A49,Rótulos!$B$5:$B$212,$B49,Rótulos!$C$5:$C$212,$C49,Rótulos!$H$5:$H$212,$D49,Rótulos!$I$5:$I$212,$E49,Rótulos!$F$5:$F$212,"B2C")</f>
        <v>10</v>
      </c>
      <c r="I49" s="16" t="n">
        <f aca="false">SUMIFS(Rótulos!$G$5:$G$212,Rótulos!$A$5:$A$212,$A49,Rótulos!$B$5:$B$212,$B49,Rótulos!$C$5:$C$212,$C49,Rótulos!$H$5:$H$212,$D49,Rótulos!$I$5:$I$212,$E49,Rótulos!$F$5:$F$212,"B2B")</f>
        <v>0</v>
      </c>
      <c r="J49" s="17" t="n">
        <f aca="false">H49+I49</f>
        <v>10</v>
      </c>
    </row>
    <row r="50" customFormat="false" ht="15" hidden="false" customHeight="false" outlineLevel="0" collapsed="false">
      <c r="A50" s="4" t="s">
        <v>43</v>
      </c>
      <c r="B50" s="4" t="s">
        <v>29</v>
      </c>
      <c r="C50" s="4" t="n">
        <v>15</v>
      </c>
      <c r="D50" s="4" t="s">
        <v>16</v>
      </c>
      <c r="E50" s="4" t="s">
        <v>17</v>
      </c>
      <c r="F50" s="4" t="s">
        <v>36</v>
      </c>
      <c r="G50" s="4" t="s">
        <v>15</v>
      </c>
      <c r="H50" s="16" t="n">
        <f aca="false">SUMIFS(Rótulos!$G$5:$G$212,Rótulos!$A$5:$A$212,$A50,Rótulos!$B$5:$B$212,$B50,Rótulos!$C$5:$C$212,$C50,Rótulos!$H$5:$H$212,$D50,Rótulos!$I$5:$I$212,$E50,Rótulos!$F$5:$F$212,"B2C")</f>
        <v>100</v>
      </c>
      <c r="I50" s="16" t="n">
        <f aca="false">SUMIFS(Rótulos!$G$5:$G$212,Rótulos!$A$5:$A$212,$A50,Rótulos!$B$5:$B$212,$B50,Rótulos!$C$5:$C$212,$C50,Rótulos!$H$5:$H$212,$D50,Rótulos!$I$5:$I$212,$E50,Rótulos!$F$5:$F$212,"B2B")</f>
        <v>0</v>
      </c>
      <c r="J50" s="17" t="n">
        <f aca="false">H50+I50</f>
        <v>100</v>
      </c>
    </row>
    <row r="51" customFormat="false" ht="15" hidden="false" customHeight="false" outlineLevel="0" collapsed="false">
      <c r="A51" s="4" t="s">
        <v>43</v>
      </c>
      <c r="B51" s="4" t="s">
        <v>29</v>
      </c>
      <c r="C51" s="4" t="n">
        <v>100</v>
      </c>
      <c r="D51" s="4" t="s">
        <v>24</v>
      </c>
      <c r="E51" s="4" t="s">
        <v>34</v>
      </c>
      <c r="F51" s="4" t="s">
        <v>36</v>
      </c>
      <c r="G51" s="4" t="s">
        <v>15</v>
      </c>
      <c r="H51" s="16" t="n">
        <f aca="false">SUMIFS(Rótulos!$G$5:$G$212,Rótulos!$A$5:$A$212,$A51,Rótulos!$B$5:$B$212,$B51,Rótulos!$C$5:$C$212,$C51,Rótulos!$H$5:$H$212,$D51,Rótulos!$I$5:$I$212,$E51,Rótulos!$F$5:$F$212,"B2C")</f>
        <v>30</v>
      </c>
      <c r="I51" s="16" t="n">
        <f aca="false">SUMIFS(Rótulos!$G$5:$G$212,Rótulos!$A$5:$A$212,$A51,Rótulos!$B$5:$B$212,$B51,Rótulos!$C$5:$C$212,$C51,Rótulos!$H$5:$H$212,$D51,Rótulos!$I$5:$I$212,$E51,Rótulos!$F$5:$F$212,"B2B")</f>
        <v>0</v>
      </c>
      <c r="J51" s="17" t="n">
        <f aca="false">H51+I51</f>
        <v>30</v>
      </c>
    </row>
    <row r="52" customFormat="false" ht="15" hidden="false" customHeight="false" outlineLevel="0" collapsed="false">
      <c r="A52" s="4" t="s">
        <v>43</v>
      </c>
      <c r="B52" s="4" t="s">
        <v>18</v>
      </c>
      <c r="C52" s="4" t="n">
        <v>250</v>
      </c>
      <c r="D52" s="4" t="s">
        <v>16</v>
      </c>
      <c r="E52" s="4" t="s">
        <v>21</v>
      </c>
      <c r="F52" s="4" t="s">
        <v>117</v>
      </c>
      <c r="G52" s="4" t="s">
        <v>15</v>
      </c>
      <c r="H52" s="16" t="n">
        <f aca="false">SUMIFS(Rótulos!$G$5:$G$212,Rótulos!$A$5:$A$212,$A52,Rótulos!$B$5:$B$212,$B52,Rótulos!$C$5:$C$212,$C52,Rótulos!$H$5:$H$212,$D52,Rótulos!$I$5:$I$212,$E52,Rótulos!$F$5:$F$212,"B2C")</f>
        <v>16</v>
      </c>
      <c r="I52" s="16" t="n">
        <f aca="false">SUMIFS(Rótulos!$G$5:$G$212,Rótulos!$A$5:$A$212,$A52,Rótulos!$B$5:$B$212,$B52,Rótulos!$C$5:$C$212,$C52,Rótulos!$H$5:$H$212,$D52,Rótulos!$I$5:$I$212,$E52,Rótulos!$F$5:$F$212,"B2B")</f>
        <v>0</v>
      </c>
      <c r="J52" s="17" t="n">
        <f aca="false">H52+I52</f>
        <v>16</v>
      </c>
    </row>
    <row r="53" customFormat="false" ht="15" hidden="false" customHeight="false" outlineLevel="0" collapsed="false">
      <c r="A53" s="4" t="s">
        <v>43</v>
      </c>
      <c r="B53" s="4" t="s">
        <v>18</v>
      </c>
      <c r="C53" s="4" t="n">
        <v>250</v>
      </c>
      <c r="D53" s="4" t="s">
        <v>24</v>
      </c>
      <c r="E53" s="4" t="s">
        <v>25</v>
      </c>
      <c r="F53" s="4" t="s">
        <v>23</v>
      </c>
      <c r="G53" s="4" t="s">
        <v>15</v>
      </c>
      <c r="H53" s="16" t="n">
        <f aca="false">SUMIFS(Rótulos!$G$5:$G$212,Rótulos!$A$5:$A$212,$A53,Rótulos!$B$5:$B$212,$B53,Rótulos!$C$5:$C$212,$C53,Rótulos!$H$5:$H$212,$D53,Rótulos!$I$5:$I$212,$E53,Rótulos!$F$5:$F$212,"B2C")</f>
        <v>2</v>
      </c>
      <c r="I53" s="16" t="n">
        <f aca="false">SUMIFS(Rótulos!$G$5:$G$212,Rótulos!$A$5:$A$212,$A53,Rótulos!$B$5:$B$212,$B53,Rótulos!$C$5:$C$212,$C53,Rótulos!$H$5:$H$212,$D53,Rótulos!$I$5:$I$212,$E53,Rótulos!$F$5:$F$212,"B2B")</f>
        <v>0</v>
      </c>
      <c r="J53" s="17" t="n">
        <f aca="false">H53+I53</f>
        <v>2</v>
      </c>
    </row>
    <row r="54" customFormat="false" ht="15" hidden="false" customHeight="false" outlineLevel="0" collapsed="false">
      <c r="A54" s="4" t="s">
        <v>44</v>
      </c>
      <c r="B54" s="4" t="s">
        <v>12</v>
      </c>
      <c r="C54" s="4" t="n">
        <v>250</v>
      </c>
      <c r="D54" s="4" t="s">
        <v>24</v>
      </c>
      <c r="E54" s="4" t="s">
        <v>25</v>
      </c>
      <c r="F54" s="4" t="s">
        <v>12</v>
      </c>
      <c r="G54" s="4" t="s">
        <v>30</v>
      </c>
      <c r="H54" s="16" t="n">
        <f aca="false">SUMIFS(Rótulos!$G$5:$G$212,Rótulos!$A$5:$A$212,$A54,Rótulos!$B$5:$B$212,$B54,Rótulos!$C$5:$C$212,$C54,Rótulos!$H$5:$H$212,$D54,Rótulos!$I$5:$I$212,$E54,Rótulos!$F$5:$F$212,"B2C")</f>
        <v>0</v>
      </c>
      <c r="I54" s="16" t="n">
        <f aca="false">SUMIFS(Rótulos!$G$5:$G$212,Rótulos!$A$5:$A$212,$A54,Rótulos!$B$5:$B$212,$B54,Rótulos!$C$5:$C$212,$C54,Rótulos!$H$5:$H$212,$D54,Rótulos!$I$5:$I$212,$E54,Rótulos!$F$5:$F$212,"B2B")</f>
        <v>205</v>
      </c>
      <c r="J54" s="17" t="n">
        <f aca="false">H54+I54</f>
        <v>205</v>
      </c>
    </row>
    <row r="55" customFormat="false" ht="15" hidden="false" customHeight="false" outlineLevel="0" collapsed="false">
      <c r="A55" s="4" t="s">
        <v>44</v>
      </c>
      <c r="B55" s="4" t="s">
        <v>29</v>
      </c>
      <c r="C55" s="4" t="n">
        <v>1000</v>
      </c>
      <c r="D55" s="4" t="s">
        <v>24</v>
      </c>
      <c r="E55" s="4" t="s">
        <v>32</v>
      </c>
      <c r="F55" s="4" t="s">
        <v>29</v>
      </c>
      <c r="G55" s="4" t="s">
        <v>30</v>
      </c>
      <c r="H55" s="16" t="n">
        <f aca="false">SUMIFS(Rótulos!$G$5:$G$212,Rótulos!$A$5:$A$212,$A55,Rótulos!$B$5:$B$212,$B55,Rótulos!$C$5:$C$212,$C55,Rótulos!$H$5:$H$212,$D55,Rótulos!$I$5:$I$212,$E55,Rótulos!$F$5:$F$212,"B2C")</f>
        <v>0</v>
      </c>
      <c r="I55" s="16" t="n">
        <f aca="false">SUMIFS(Rótulos!$G$5:$G$212,Rótulos!$A$5:$A$212,$A55,Rótulos!$B$5:$B$212,$B55,Rótulos!$C$5:$C$212,$C55,Rótulos!$H$5:$H$212,$D55,Rótulos!$I$5:$I$212,$E55,Rótulos!$F$5:$F$212,"B2B")</f>
        <v>18</v>
      </c>
      <c r="J55" s="17" t="n">
        <f aca="false">H55+I55</f>
        <v>18</v>
      </c>
    </row>
    <row r="56" customFormat="false" ht="15" hidden="false" customHeight="false" outlineLevel="0" collapsed="false">
      <c r="A56" s="4" t="s">
        <v>44</v>
      </c>
      <c r="B56" s="4" t="s">
        <v>29</v>
      </c>
      <c r="C56" s="4" t="n">
        <v>5000</v>
      </c>
      <c r="D56" s="4" t="s">
        <v>24</v>
      </c>
      <c r="E56" s="4" t="s">
        <v>110</v>
      </c>
      <c r="F56" s="4" t="s">
        <v>29</v>
      </c>
      <c r="G56" s="4" t="s">
        <v>30</v>
      </c>
      <c r="H56" s="16" t="n">
        <f aca="false">SUMIFS(Rótulos!$G$5:$G$212,Rótulos!$A$5:$A$212,$A56,Rótulos!$B$5:$B$212,$B56,Rótulos!$C$5:$C$212,$C56,Rótulos!$H$5:$H$212,$D56,Rótulos!$I$5:$I$212,"=",Rótulos!$F$5:$F$212,"B2C")</f>
        <v>0</v>
      </c>
      <c r="I56" s="16" t="n">
        <f aca="false">SUMIFS(Rótulos!$G$5:$G$212,Rótulos!$A$5:$A$212,$A56,Rótulos!$B$5:$B$212,$B56,Rótulos!$C$5:$C$212,$C56,Rótulos!$H$5:$H$212,$D56,Rótulos!$I$5:$I$212,"=",Rótulos!$F$5:$F$212,"B2B")</f>
        <v>8</v>
      </c>
      <c r="J56" s="17" t="n">
        <f aca="false">H56+I56</f>
        <v>8</v>
      </c>
    </row>
    <row r="57" customFormat="false" ht="15" hidden="false" customHeight="false" outlineLevel="0" collapsed="false">
      <c r="A57" s="4" t="s">
        <v>45</v>
      </c>
      <c r="B57" s="4" t="s">
        <v>29</v>
      </c>
      <c r="C57" s="4" t="n">
        <v>400</v>
      </c>
      <c r="D57" s="4" t="s">
        <v>24</v>
      </c>
      <c r="E57" s="4" t="s">
        <v>31</v>
      </c>
      <c r="F57" s="4" t="s">
        <v>29</v>
      </c>
      <c r="G57" s="4" t="s">
        <v>30</v>
      </c>
      <c r="H57" s="16" t="n">
        <f aca="false">SUMIFS(Rótulos!$G$5:$G$212,Rótulos!$A$5:$A$212,$A57,Rótulos!$B$5:$B$212,$B57,Rótulos!$C$5:$C$212,$C57,Rótulos!$H$5:$H$212,$D57,Rótulos!$I$5:$I$212,$E57,Rótulos!$F$5:$F$212,"B2C")</f>
        <v>0</v>
      </c>
      <c r="I57" s="16" t="n">
        <f aca="false">SUMIFS(Rótulos!$G$5:$G$212,Rótulos!$A$5:$A$212,$A57,Rótulos!$B$5:$B$212,$B57,Rótulos!$C$5:$C$212,$C57,Rótulos!$H$5:$H$212,$D57,Rótulos!$I$5:$I$212,$E57,Rótulos!$F$5:$F$212,"B2B")</f>
        <v>24</v>
      </c>
      <c r="J57" s="17" t="n">
        <f aca="false">H57+I57</f>
        <v>24</v>
      </c>
    </row>
    <row r="58" customFormat="false" ht="15" hidden="false" customHeight="false" outlineLevel="0" collapsed="false">
      <c r="A58" s="4" t="s">
        <v>45</v>
      </c>
      <c r="B58" s="4" t="s">
        <v>29</v>
      </c>
      <c r="C58" s="4" t="n">
        <v>1000</v>
      </c>
      <c r="D58" s="4" t="s">
        <v>24</v>
      </c>
      <c r="E58" s="4" t="s">
        <v>32</v>
      </c>
      <c r="F58" s="4" t="s">
        <v>29</v>
      </c>
      <c r="G58" s="4" t="s">
        <v>30</v>
      </c>
      <c r="H58" s="16" t="n">
        <f aca="false">SUMIFS(Rótulos!$G$5:$G$212,Rótulos!$A$5:$A$212,$A58,Rótulos!$B$5:$B$212,$B58,Rótulos!$C$5:$C$212,$C58,Rótulos!$H$5:$H$212,$D58,Rótulos!$I$5:$I$212,$E58,Rótulos!$F$5:$F$212,"B2C")</f>
        <v>0</v>
      </c>
      <c r="I58" s="16" t="n">
        <f aca="false">SUMIFS(Rótulos!$G$5:$G$212,Rótulos!$A$5:$A$212,$A58,Rótulos!$B$5:$B$212,$B58,Rótulos!$C$5:$C$212,$C58,Rótulos!$H$5:$H$212,$D58,Rótulos!$I$5:$I$212,$E58,Rótulos!$F$5:$F$212,"B2B")</f>
        <v>8</v>
      </c>
      <c r="J58" s="17" t="n">
        <f aca="false">H58+I58</f>
        <v>8</v>
      </c>
    </row>
    <row r="59" customFormat="false" ht="15" hidden="false" customHeight="false" outlineLevel="0" collapsed="false">
      <c r="A59" s="4" t="s">
        <v>45</v>
      </c>
      <c r="B59" s="4" t="s">
        <v>33</v>
      </c>
      <c r="C59" s="4" t="n">
        <v>100</v>
      </c>
      <c r="D59" s="4" t="s">
        <v>24</v>
      </c>
      <c r="E59" s="4" t="s">
        <v>34</v>
      </c>
      <c r="F59" s="4" t="s">
        <v>33</v>
      </c>
      <c r="G59" s="4" t="s">
        <v>30</v>
      </c>
      <c r="H59" s="16" t="n">
        <f aca="false">SUMIFS(Rótulos!$G$5:$G$212,Rótulos!$A$5:$A$212,$A59,Rótulos!$B$5:$B$212,$B59,Rótulos!$C$5:$C$212,$C59,Rótulos!$H$5:$H$212,$D59,Rótulos!$I$5:$I$212,$E59,Rótulos!$F$5:$F$212,"B2C")</f>
        <v>0</v>
      </c>
      <c r="I59" s="16" t="n">
        <f aca="false">SUMIFS(Rótulos!$G$5:$G$212,Rótulos!$A$5:$A$212,$A59,Rótulos!$B$5:$B$212,$B59,Rótulos!$C$5:$C$212,$C59,Rótulos!$H$5:$H$212,$D59,Rótulos!$I$5:$I$212,$E59,Rótulos!$F$5:$F$212,"B2B")</f>
        <v>16</v>
      </c>
      <c r="J59" s="17" t="n">
        <f aca="false">H59+I59</f>
        <v>16</v>
      </c>
    </row>
    <row r="60" customFormat="false" ht="15" hidden="false" customHeight="false" outlineLevel="0" collapsed="false">
      <c r="A60" s="4" t="s">
        <v>45</v>
      </c>
      <c r="B60" s="4" t="s">
        <v>33</v>
      </c>
      <c r="C60" s="4" t="n">
        <v>500</v>
      </c>
      <c r="D60" s="4" t="s">
        <v>24</v>
      </c>
      <c r="E60" s="4" t="s">
        <v>31</v>
      </c>
      <c r="F60" s="4" t="s">
        <v>33</v>
      </c>
      <c r="G60" s="4" t="s">
        <v>30</v>
      </c>
      <c r="H60" s="16" t="n">
        <f aca="false">SUMIFS(Rótulos!$G$5:$G$212,Rótulos!$A$5:$A$212,$A60,Rótulos!$B$5:$B$212,$B60,Rótulos!$C$5:$C$212,$C60,Rótulos!$H$5:$H$212,$D60,Rótulos!$I$5:$I$212,$E60,Rótulos!$F$5:$F$212,"B2C")</f>
        <v>0</v>
      </c>
      <c r="I60" s="16" t="n">
        <f aca="false">SUMIFS(Rótulos!$G$5:$G$212,Rótulos!$A$5:$A$212,$A60,Rótulos!$B$5:$B$212,$B60,Rótulos!$C$5:$C$212,$C60,Rótulos!$H$5:$H$212,$D60,Rótulos!$I$5:$I$212,$E60,Rótulos!$F$5:$F$212,"B2B")</f>
        <v>13</v>
      </c>
      <c r="J60" s="17" t="n">
        <f aca="false">H60+I60</f>
        <v>13</v>
      </c>
    </row>
    <row r="61" customFormat="false" ht="15" hidden="false" customHeight="false" outlineLevel="0" collapsed="false">
      <c r="A61" s="4" t="s">
        <v>45</v>
      </c>
      <c r="B61" s="4" t="s">
        <v>18</v>
      </c>
      <c r="C61" s="4" t="n">
        <v>500</v>
      </c>
      <c r="D61" s="4" t="s">
        <v>24</v>
      </c>
      <c r="E61" s="4" t="s">
        <v>31</v>
      </c>
      <c r="F61" s="4" t="s">
        <v>18</v>
      </c>
      <c r="G61" s="4" t="s">
        <v>30</v>
      </c>
      <c r="H61" s="16" t="n">
        <f aca="false">SUMIFS(Rótulos!$G$5:$G$212,Rótulos!$A$5:$A$212,$A61,Rótulos!$B$5:$B$212,$B61,Rótulos!$C$5:$C$212,$C61,Rótulos!$H$5:$H$212,$D61,Rótulos!$I$5:$I$212,$E61,Rótulos!$F$5:$F$212,"B2C")</f>
        <v>0</v>
      </c>
      <c r="I61" s="16" t="n">
        <f aca="false">SUMIFS(Rótulos!$G$5:$G$212,Rótulos!$A$5:$A$212,$A61,Rótulos!$B$5:$B$212,$B61,Rótulos!$C$5:$C$212,$C61,Rótulos!$H$5:$H$212,$D61,Rótulos!$I$5:$I$212,$E61,Rótulos!$F$5:$F$212,"B2B")</f>
        <v>16</v>
      </c>
      <c r="J61" s="17" t="n">
        <f aca="false">H61+I61</f>
        <v>16</v>
      </c>
    </row>
    <row r="62" customFormat="false" ht="15" hidden="false" customHeight="false" outlineLevel="0" collapsed="false">
      <c r="A62" s="4" t="s">
        <v>46</v>
      </c>
      <c r="B62" s="4" t="s">
        <v>29</v>
      </c>
      <c r="C62" s="4" t="n">
        <v>400</v>
      </c>
      <c r="D62" s="4" t="s">
        <v>24</v>
      </c>
      <c r="E62" s="4" t="s">
        <v>31</v>
      </c>
      <c r="F62" s="4" t="s">
        <v>29</v>
      </c>
      <c r="G62" s="4" t="s">
        <v>30</v>
      </c>
      <c r="H62" s="16" t="n">
        <f aca="false">SUMIFS(Rótulos!$G$5:$G$212,Rótulos!$A$5:$A$212,$A62,Rótulos!$B$5:$B$212,$B62,Rótulos!$C$5:$C$212,$C62,Rótulos!$H$5:$H$212,$D62,Rótulos!$I$5:$I$212,$E62,Rótulos!$F$5:$F$212,"B2C")</f>
        <v>0</v>
      </c>
      <c r="I62" s="16" t="n">
        <f aca="false">SUMIFS(Rótulos!$G$5:$G$212,Rótulos!$A$5:$A$212,$A62,Rótulos!$B$5:$B$212,$B62,Rótulos!$C$5:$C$212,$C62,Rótulos!$H$5:$H$212,$D62,Rótulos!$I$5:$I$212,$E62,Rótulos!$F$5:$F$212,"B2B")</f>
        <v>18</v>
      </c>
      <c r="J62" s="17" t="n">
        <f aca="false">H62+I62</f>
        <v>18</v>
      </c>
    </row>
    <row r="63" customFormat="false" ht="15" hidden="false" customHeight="false" outlineLevel="0" collapsed="false">
      <c r="A63" s="4" t="s">
        <v>47</v>
      </c>
      <c r="B63" s="4" t="s">
        <v>12</v>
      </c>
      <c r="C63" s="4" t="n">
        <v>15</v>
      </c>
      <c r="D63" s="4" t="s">
        <v>16</v>
      </c>
      <c r="E63" s="4" t="s">
        <v>17</v>
      </c>
      <c r="F63" s="4" t="s">
        <v>14</v>
      </c>
      <c r="G63" s="4" t="s">
        <v>15</v>
      </c>
      <c r="H63" s="16" t="n">
        <f aca="false">SUMIFS(Rótulos!$G$5:$G$212,Rótulos!$A$5:$A$212,$A63,Rótulos!$B$5:$B$212,$B63,Rótulos!$C$5:$C$212,$C63,Rótulos!$H$5:$H$212,$D63,Rótulos!$I$5:$I$212,$E63,Rótulos!$F$5:$F$212,"B2C")</f>
        <v>200</v>
      </c>
      <c r="I63" s="16" t="n">
        <f aca="false">SUMIFS(Rótulos!$G$5:$G$212,Rótulos!$A$5:$A$212,$A63,Rótulos!$B$5:$B$212,$B63,Rótulos!$C$5:$C$212,$C63,Rótulos!$H$5:$H$212,$D63,Rótulos!$I$5:$I$212,$E63,Rótulos!$F$5:$F$212,"B2B")</f>
        <v>0</v>
      </c>
      <c r="J63" s="17" t="n">
        <f aca="false">H63+I63</f>
        <v>200</v>
      </c>
    </row>
    <row r="64" customFormat="false" ht="15" hidden="false" customHeight="false" outlineLevel="0" collapsed="false">
      <c r="A64" s="4" t="s">
        <v>47</v>
      </c>
      <c r="B64" s="4" t="s">
        <v>18</v>
      </c>
      <c r="C64" s="4" t="n">
        <v>250</v>
      </c>
      <c r="D64" s="4" t="s">
        <v>16</v>
      </c>
      <c r="E64" s="4" t="s">
        <v>21</v>
      </c>
      <c r="F64" s="4" t="s">
        <v>117</v>
      </c>
      <c r="G64" s="4" t="s">
        <v>15</v>
      </c>
      <c r="H64" s="16" t="n">
        <f aca="false">SUMIFS(Rótulos!$G$5:$G$212,Rótulos!$A$5:$A$212,$A64,Rótulos!$B$5:$B$212,$B64,Rótulos!$C$5:$C$212,$C64,Rótulos!$H$5:$H$212,$D64,Rótulos!$I$5:$I$212,$E64,Rótulos!$F$5:$F$212,"B2C")</f>
        <v>36</v>
      </c>
      <c r="I64" s="16" t="n">
        <f aca="false">SUMIFS(Rótulos!$G$5:$G$212,Rótulos!$A$5:$A$212,$A64,Rótulos!$B$5:$B$212,$B64,Rótulos!$C$5:$C$212,$C64,Rótulos!$H$5:$H$212,$D64,Rótulos!$I$5:$I$212,$E64,Rótulos!$F$5:$F$212,"B2B")</f>
        <v>0</v>
      </c>
      <c r="J64" s="17" t="n">
        <f aca="false">H64+I64</f>
        <v>36</v>
      </c>
    </row>
    <row r="65" customFormat="false" ht="15" hidden="false" customHeight="false" outlineLevel="0" collapsed="false">
      <c r="A65" s="4" t="s">
        <v>47</v>
      </c>
      <c r="B65" s="4" t="s">
        <v>18</v>
      </c>
      <c r="C65" s="4" t="n">
        <v>250</v>
      </c>
      <c r="D65" s="4" t="s">
        <v>24</v>
      </c>
      <c r="E65" s="4" t="s">
        <v>25</v>
      </c>
      <c r="F65" s="4" t="s">
        <v>23</v>
      </c>
      <c r="G65" s="4" t="s">
        <v>15</v>
      </c>
      <c r="H65" s="16" t="n">
        <f aca="false">SUMIFS(Rótulos!$G$5:$G$212,Rótulos!$A$5:$A$212,$A65,Rótulos!$B$5:$B$212,$B65,Rótulos!$C$5:$C$212,$C65,Rótulos!$H$5:$H$212,$D65,Rótulos!$I$5:$I$212,$E65,Rótulos!$F$5:$F$212,"B2C")</f>
        <v>12</v>
      </c>
      <c r="I65" s="16" t="n">
        <f aca="false">SUMIFS(Rótulos!$G$5:$G$212,Rótulos!$A$5:$A$212,$A65,Rótulos!$B$5:$B$212,$B65,Rótulos!$C$5:$C$212,$C65,Rótulos!$H$5:$H$212,$D65,Rótulos!$I$5:$I$212,$E65,Rótulos!$F$5:$F$212,"B2B")</f>
        <v>0</v>
      </c>
      <c r="J65" s="17" t="n">
        <f aca="false">H65+I65</f>
        <v>12</v>
      </c>
    </row>
    <row r="66" customFormat="false" ht="15" hidden="false" customHeight="false" outlineLevel="0" collapsed="false">
      <c r="A66" s="4" t="s">
        <v>48</v>
      </c>
      <c r="B66" s="4" t="s">
        <v>29</v>
      </c>
      <c r="C66" s="4" t="n">
        <v>400</v>
      </c>
      <c r="D66" s="4" t="s">
        <v>24</v>
      </c>
      <c r="E66" s="4" t="s">
        <v>31</v>
      </c>
      <c r="F66" s="4" t="s">
        <v>29</v>
      </c>
      <c r="G66" s="4" t="s">
        <v>30</v>
      </c>
      <c r="H66" s="16" t="n">
        <f aca="false">SUMIFS(Rótulos!$G$5:$G$212,Rótulos!$A$5:$A$212,$A66,Rótulos!$B$5:$B$212,$B66,Rótulos!$C$5:$C$212,$C66,Rótulos!$H$5:$H$212,$D66,Rótulos!$I$5:$I$212,$E66,Rótulos!$F$5:$F$212,"B2C")</f>
        <v>0</v>
      </c>
      <c r="I66" s="16" t="n">
        <f aca="false">SUMIFS(Rótulos!$G$5:$G$212,Rótulos!$A$5:$A$212,$A66,Rótulos!$B$5:$B$212,$B66,Rótulos!$C$5:$C$212,$C66,Rótulos!$H$5:$H$212,$D66,Rótulos!$I$5:$I$212,$E66,Rótulos!$F$5:$F$212,"B2B")</f>
        <v>31</v>
      </c>
      <c r="J66" s="17" t="n">
        <f aca="false">H66+I66</f>
        <v>31</v>
      </c>
    </row>
    <row r="67" customFormat="false" ht="15" hidden="false" customHeight="false" outlineLevel="0" collapsed="false">
      <c r="A67" s="4" t="s">
        <v>48</v>
      </c>
      <c r="B67" s="4" t="s">
        <v>33</v>
      </c>
      <c r="C67" s="4" t="n">
        <v>100</v>
      </c>
      <c r="D67" s="4" t="s">
        <v>24</v>
      </c>
      <c r="E67" s="4" t="s">
        <v>34</v>
      </c>
      <c r="F67" s="4" t="s">
        <v>33</v>
      </c>
      <c r="G67" s="4" t="s">
        <v>30</v>
      </c>
      <c r="H67" s="16" t="n">
        <f aca="false">SUMIFS(Rótulos!$G$5:$G$212,Rótulos!$A$5:$A$212,$A67,Rótulos!$B$5:$B$212,$B67,Rótulos!$C$5:$C$212,$C67,Rótulos!$H$5:$H$212,$D67,Rótulos!$I$5:$I$212,$E67,Rótulos!$F$5:$F$212,"B2C")</f>
        <v>0</v>
      </c>
      <c r="I67" s="16" t="n">
        <f aca="false">SUMIFS(Rótulos!$G$5:$G$212,Rótulos!$A$5:$A$212,$A67,Rótulos!$B$5:$B$212,$B67,Rótulos!$C$5:$C$212,$C67,Rótulos!$H$5:$H$212,$D67,Rótulos!$I$5:$I$212,$E67,Rótulos!$F$5:$F$212,"B2B")</f>
        <v>3</v>
      </c>
      <c r="J67" s="17" t="n">
        <f aca="false">H67+I67</f>
        <v>3</v>
      </c>
    </row>
    <row r="68" customFormat="false" ht="15" hidden="false" customHeight="false" outlineLevel="0" collapsed="false">
      <c r="A68" s="4" t="s">
        <v>48</v>
      </c>
      <c r="B68" s="4" t="s">
        <v>33</v>
      </c>
      <c r="C68" s="4" t="n">
        <v>500</v>
      </c>
      <c r="D68" s="4" t="s">
        <v>24</v>
      </c>
      <c r="E68" s="4" t="s">
        <v>31</v>
      </c>
      <c r="F68" s="4" t="s">
        <v>33</v>
      </c>
      <c r="G68" s="4" t="s">
        <v>30</v>
      </c>
      <c r="H68" s="16" t="n">
        <f aca="false">SUMIFS(Rótulos!$G$5:$G$212,Rótulos!$A$5:$A$212,$A68,Rótulos!$B$5:$B$212,$B68,Rótulos!$C$5:$C$212,$C68,Rótulos!$H$5:$H$212,$D68,Rótulos!$I$5:$I$212,$E68,Rótulos!$F$5:$F$212,"B2C")</f>
        <v>0</v>
      </c>
      <c r="I68" s="16" t="n">
        <f aca="false">SUMIFS(Rótulos!$G$5:$G$212,Rótulos!$A$5:$A$212,$A68,Rótulos!$B$5:$B$212,$B68,Rótulos!$C$5:$C$212,$C68,Rótulos!$H$5:$H$212,$D68,Rótulos!$I$5:$I$212,$E68,Rótulos!$F$5:$F$212,"B2B")</f>
        <v>128</v>
      </c>
      <c r="J68" s="17" t="n">
        <f aca="false">H68+I68</f>
        <v>128</v>
      </c>
    </row>
    <row r="69" customFormat="false" ht="15" hidden="false" customHeight="false" outlineLevel="0" collapsed="false">
      <c r="A69" s="4" t="s">
        <v>48</v>
      </c>
      <c r="B69" s="4" t="s">
        <v>33</v>
      </c>
      <c r="C69" s="4" t="n">
        <v>1000</v>
      </c>
      <c r="D69" s="4" t="s">
        <v>24</v>
      </c>
      <c r="E69" s="4" t="s">
        <v>32</v>
      </c>
      <c r="F69" s="4" t="s">
        <v>33</v>
      </c>
      <c r="G69" s="4" t="s">
        <v>30</v>
      </c>
      <c r="H69" s="16" t="n">
        <f aca="false">SUMIFS(Rótulos!$G$5:$G$212,Rótulos!$A$5:$A$212,$A69,Rótulos!$B$5:$B$212,$B69,Rótulos!$C$5:$C$212,$C69,Rótulos!$H$5:$H$212,$D69,Rótulos!$I$5:$I$212,$E69,Rótulos!$F$5:$F$212,"B2C")</f>
        <v>0</v>
      </c>
      <c r="I69" s="16" t="n">
        <f aca="false">SUMIFS(Rótulos!$G$5:$G$212,Rótulos!$A$5:$A$212,$A69,Rótulos!$B$5:$B$212,$B69,Rótulos!$C$5:$C$212,$C69,Rótulos!$H$5:$H$212,$D69,Rótulos!$I$5:$I$212,$E69,Rótulos!$F$5:$F$212,"B2B")</f>
        <v>9</v>
      </c>
      <c r="J69" s="17" t="n">
        <f aca="false">H69+I69</f>
        <v>9</v>
      </c>
    </row>
    <row r="70" customFormat="false" ht="15" hidden="false" customHeight="false" outlineLevel="0" collapsed="false">
      <c r="A70" s="25" t="s">
        <v>48</v>
      </c>
      <c r="B70" s="25" t="s">
        <v>18</v>
      </c>
      <c r="C70" s="25" t="n">
        <v>250</v>
      </c>
      <c r="D70" s="25" t="s">
        <v>24</v>
      </c>
      <c r="E70" s="25" t="s">
        <v>25</v>
      </c>
      <c r="F70" s="25" t="s">
        <v>193</v>
      </c>
      <c r="G70" s="25" t="s">
        <v>192</v>
      </c>
      <c r="H70" s="26" t="n">
        <f aca="false">SUMIFS(Rótulos!$G$5:$G$212,Rótulos!$A$5:$A$212,$A70,Rótulos!$B$5:$B$212,$B70,Rótulos!$C$5:$C$212,$C70,Rótulos!$H$5:$H$212,$D70,Rótulos!$I$5:$I$212,$E70,Rótulos!$F$5:$F$212,"B2C")</f>
        <v>2</v>
      </c>
      <c r="I70" s="26" t="n">
        <f aca="false">SUMIFS(Rótulos!$G$5:$G$212,Rótulos!$A$5:$A$212,$A70,Rótulos!$B$5:$B$212,$B70,Rótulos!$C$5:$C$212,$C70,Rótulos!$H$5:$H$212,$D70,Rótulos!$I$5:$I$212,$E70,Rótulos!$F$5:$F$212,"B2B")</f>
        <v>80</v>
      </c>
      <c r="J70" s="27" t="n">
        <f aca="false">H70+I70</f>
        <v>82</v>
      </c>
    </row>
    <row r="71" customFormat="false" ht="15" hidden="false" customHeight="false" outlineLevel="0" collapsed="false">
      <c r="A71" s="4" t="s">
        <v>48</v>
      </c>
      <c r="B71" s="4" t="s">
        <v>12</v>
      </c>
      <c r="C71" s="4" t="n">
        <v>15</v>
      </c>
      <c r="D71" s="4" t="s">
        <v>16</v>
      </c>
      <c r="E71" s="4" t="s">
        <v>17</v>
      </c>
      <c r="F71" s="4" t="s">
        <v>14</v>
      </c>
      <c r="G71" s="4" t="s">
        <v>15</v>
      </c>
      <c r="H71" s="16" t="n">
        <f aca="false">SUMIFS(Rótulos!$G$5:$G$212,Rótulos!$A$5:$A$212,$A71,Rótulos!$B$5:$B$212,$B71,Rótulos!$C$5:$C$212,$C71,Rótulos!$H$5:$H$212,$D71,Rótulos!$I$5:$I$212,$E71,Rótulos!$F$5:$F$212,"B2C")</f>
        <v>100</v>
      </c>
      <c r="I71" s="16" t="n">
        <f aca="false">SUMIFS(Rótulos!$G$5:$G$212,Rótulos!$A$5:$A$212,$A71,Rótulos!$B$5:$B$212,$B71,Rótulos!$C$5:$C$212,$C71,Rótulos!$H$5:$H$212,$D71,Rótulos!$I$5:$I$212,$E71,Rótulos!$F$5:$F$212,"B2B")</f>
        <v>0</v>
      </c>
      <c r="J71" s="17" t="n">
        <f aca="false">H71+I71</f>
        <v>100</v>
      </c>
    </row>
    <row r="72" customFormat="false" ht="15" hidden="false" customHeight="false" outlineLevel="0" collapsed="false">
      <c r="A72" s="4" t="s">
        <v>48</v>
      </c>
      <c r="B72" s="4" t="s">
        <v>12</v>
      </c>
      <c r="C72" s="4" t="n">
        <v>500</v>
      </c>
      <c r="D72" s="4" t="s">
        <v>24</v>
      </c>
      <c r="E72" s="4" t="s">
        <v>31</v>
      </c>
      <c r="F72" s="4" t="s">
        <v>35</v>
      </c>
      <c r="G72" s="4" t="s">
        <v>15</v>
      </c>
      <c r="H72" s="16" t="n">
        <f aca="false">SUMIFS(Rótulos!$G$5:$G$212,Rótulos!$A$5:$A$212,$A72,Rótulos!$B$5:$B$212,$B72,Rótulos!$C$5:$C$212,$C72,Rótulos!$H$5:$H$212,$D72,Rótulos!$I$5:$I$212,$E72,Rótulos!$F$5:$F$212,"B2C")</f>
        <v>10</v>
      </c>
      <c r="I72" s="16" t="n">
        <f aca="false">SUMIFS(Rótulos!$G$5:$G$212,Rótulos!$A$5:$A$212,$A72,Rótulos!$B$5:$B$212,$B72,Rótulos!$C$5:$C$212,$C72,Rótulos!$H$5:$H$212,$D72,Rótulos!$I$5:$I$212,$E72,Rótulos!$F$5:$F$212,"B2B")</f>
        <v>0</v>
      </c>
      <c r="J72" s="17" t="n">
        <f aca="false">H72+I72</f>
        <v>10</v>
      </c>
    </row>
    <row r="73" customFormat="false" ht="15" hidden="false" customHeight="false" outlineLevel="0" collapsed="false">
      <c r="A73" s="4" t="s">
        <v>48</v>
      </c>
      <c r="B73" s="4" t="s">
        <v>29</v>
      </c>
      <c r="C73" s="4" t="n">
        <v>15</v>
      </c>
      <c r="D73" s="4" t="s">
        <v>16</v>
      </c>
      <c r="E73" s="4" t="s">
        <v>17</v>
      </c>
      <c r="F73" s="4" t="s">
        <v>36</v>
      </c>
      <c r="G73" s="4" t="s">
        <v>15</v>
      </c>
      <c r="H73" s="16" t="n">
        <f aca="false">SUMIFS(Rótulos!$G$5:$G$212,Rótulos!$A$5:$A$212,$A73,Rótulos!$B$5:$B$212,$B73,Rótulos!$C$5:$C$212,$C73,Rótulos!$H$5:$H$212,$D73,Rótulos!$I$5:$I$212,$E73,Rótulos!$F$5:$F$212,"B2C")</f>
        <v>100</v>
      </c>
      <c r="I73" s="16" t="n">
        <f aca="false">SUMIFS(Rótulos!$G$5:$G$212,Rótulos!$A$5:$A$212,$A73,Rótulos!$B$5:$B$212,$B73,Rótulos!$C$5:$C$212,$C73,Rótulos!$H$5:$H$212,$D73,Rótulos!$I$5:$I$212,$E73,Rótulos!$F$5:$F$212,"B2B")</f>
        <v>0</v>
      </c>
      <c r="J73" s="17" t="n">
        <f aca="false">H73+I73</f>
        <v>100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100</v>
      </c>
      <c r="D74" s="4" t="s">
        <v>24</v>
      </c>
      <c r="E74" s="4" t="s">
        <v>34</v>
      </c>
      <c r="F74" s="4" t="s">
        <v>36</v>
      </c>
      <c r="G74" s="4" t="s">
        <v>15</v>
      </c>
      <c r="H74" s="16" t="n">
        <f aca="false">SUMIFS(Rótulos!$G$5:$G$212,Rótulos!$A$5:$A$212,$A74,Rótulos!$B$5:$B$212,$B74,Rótulos!$C$5:$C$212,$C74,Rótulos!$H$5:$H$212,$D74,Rótulos!$I$5:$I$212,$E74,Rótulos!$F$5:$F$212,"B2C")</f>
        <v>30</v>
      </c>
      <c r="I74" s="16" t="n">
        <f aca="false">SUMIFS(Rótulos!$G$5:$G$212,Rótulos!$A$5:$A$212,$A74,Rótulos!$B$5:$B$212,$B74,Rótulos!$C$5:$C$212,$C74,Rótulos!$H$5:$H$212,$D74,Rótulos!$I$5:$I$212,$E74,Rótulos!$F$5:$F$212,"B2B")</f>
        <v>0</v>
      </c>
      <c r="J74" s="17" t="n">
        <f aca="false">H74+I74</f>
        <v>30</v>
      </c>
    </row>
    <row r="75" customFormat="false" ht="15" hidden="false" customHeight="false" outlineLevel="0" collapsed="false">
      <c r="A75" s="4" t="s">
        <v>48</v>
      </c>
      <c r="B75" s="4" t="s">
        <v>18</v>
      </c>
      <c r="C75" s="4" t="n">
        <v>250</v>
      </c>
      <c r="D75" s="4" t="s">
        <v>16</v>
      </c>
      <c r="E75" s="4" t="s">
        <v>21</v>
      </c>
      <c r="F75" s="4" t="s">
        <v>117</v>
      </c>
      <c r="G75" s="4" t="s">
        <v>15</v>
      </c>
      <c r="H75" s="16" t="n">
        <f aca="false">SUMIFS(Rótulos!$G$5:$G$212,Rótulos!$A$5:$A$212,$A75,Rótulos!$B$5:$B$212,$B75,Rótulos!$C$5:$C$212,$C75,Rótulos!$H$5:$H$212,$D75,Rótulos!$I$5:$I$212,$E75,Rótulos!$F$5:$F$212,"B2C")</f>
        <v>16</v>
      </c>
      <c r="I75" s="16" t="n">
        <f aca="false">SUMIFS(Rótulos!$G$5:$G$212,Rótulos!$A$5:$A$212,$A75,Rótulos!$B$5:$B$212,$B75,Rótulos!$C$5:$C$212,$C75,Rótulos!$H$5:$H$212,$D75,Rótulos!$I$5:$I$212,$E75,Rótulos!$F$5:$F$212,"B2B")</f>
        <v>0</v>
      </c>
      <c r="J75" s="17" t="n">
        <f aca="false">H75+I75</f>
        <v>16</v>
      </c>
    </row>
    <row r="76" customFormat="false" ht="15" hidden="false" customHeight="false" outlineLevel="0" collapsed="false">
      <c r="A76" s="4" t="s">
        <v>49</v>
      </c>
      <c r="B76" s="4" t="s">
        <v>18</v>
      </c>
      <c r="C76" s="4" t="n">
        <v>150</v>
      </c>
      <c r="D76" s="4" t="s">
        <v>24</v>
      </c>
      <c r="E76" s="4" t="s">
        <v>25</v>
      </c>
      <c r="F76" s="4" t="s">
        <v>18</v>
      </c>
      <c r="G76" s="4" t="s">
        <v>30</v>
      </c>
      <c r="H76" s="16" t="n">
        <f aca="false">SUMIFS(Rótulos!$G$5:$G$212,Rótulos!$A$5:$A$212,$A76,Rótulos!$B$5:$B$212,$B76,Rótulos!$C$5:$C$212,$C76,Rótulos!$H$5:$H$212,$D76,Rótulos!$I$5:$I$212,$E76,Rótulos!$F$5:$F$212,"B2C")</f>
        <v>0</v>
      </c>
      <c r="I76" s="16" t="n">
        <f aca="false">SUMIFS(Rótulos!$G$5:$G$212,Rótulos!$A$5:$A$212,$A76,Rótulos!$B$5:$B$212,$B76,Rótulos!$C$5:$C$212,$C76,Rótulos!$H$5:$H$212,$D76,Rótulos!$I$5:$I$212,$E76,Rótulos!$F$5:$F$212,"B2B")</f>
        <v>8</v>
      </c>
      <c r="J76" s="17" t="n">
        <f aca="false">H76+I76</f>
        <v>8</v>
      </c>
    </row>
    <row r="77" customFormat="false" ht="15" hidden="false" customHeight="false" outlineLevel="0" collapsed="false">
      <c r="A77" s="4" t="s">
        <v>50</v>
      </c>
      <c r="B77" s="4" t="s">
        <v>33</v>
      </c>
      <c r="C77" s="4" t="n">
        <v>500</v>
      </c>
      <c r="D77" s="4" t="s">
        <v>24</v>
      </c>
      <c r="E77" s="4" t="s">
        <v>31</v>
      </c>
      <c r="F77" s="4" t="s">
        <v>33</v>
      </c>
      <c r="G77" s="4" t="s">
        <v>30</v>
      </c>
      <c r="H77" s="16" t="n">
        <f aca="false">SUMIFS(Rótulos!$G$5:$G$212,Rótulos!$A$5:$A$212,$A77,Rótulos!$B$5:$B$212,$B77,Rótulos!$C$5:$C$212,$C77,Rótulos!$H$5:$H$212,$D77,Rótulos!$I$5:$I$212,$E77,Rótulos!$F$5:$F$212,"B2C")</f>
        <v>0</v>
      </c>
      <c r="I77" s="16" t="n">
        <f aca="false">SUMIFS(Rótulos!$G$5:$G$212,Rótulos!$A$5:$A$212,$A77,Rótulos!$B$5:$B$212,$B77,Rótulos!$C$5:$C$212,$C77,Rótulos!$H$5:$H$212,$D77,Rótulos!$I$5:$I$212,$E77,Rótulos!$F$5:$F$212,"B2B")</f>
        <v>19</v>
      </c>
      <c r="J77" s="17" t="n">
        <f aca="false">H77+I77</f>
        <v>19</v>
      </c>
    </row>
    <row r="78" customFormat="false" ht="15" hidden="false" customHeight="false" outlineLevel="0" collapsed="false">
      <c r="A78" s="4" t="s">
        <v>51</v>
      </c>
      <c r="B78" s="4" t="s">
        <v>33</v>
      </c>
      <c r="C78" s="4" t="n">
        <v>500</v>
      </c>
      <c r="D78" s="4" t="s">
        <v>24</v>
      </c>
      <c r="E78" s="4" t="s">
        <v>31</v>
      </c>
      <c r="F78" s="4" t="s">
        <v>33</v>
      </c>
      <c r="G78" s="4" t="s">
        <v>30</v>
      </c>
      <c r="H78" s="16" t="n">
        <f aca="false">SUMIFS(Rótulos!$G$5:$G$212,Rótulos!$A$5:$A$212,$A78,Rótulos!$B$5:$B$212,$B78,Rótulos!$C$5:$C$212,$C78,Rótulos!$H$5:$H$212,$D78,Rótulos!$I$5:$I$212,$E78,Rótulos!$F$5:$F$212,"B2C")</f>
        <v>0</v>
      </c>
      <c r="I78" s="16" t="n">
        <f aca="false">SUMIFS(Rótulos!$G$5:$G$212,Rótulos!$A$5:$A$212,$A78,Rótulos!$B$5:$B$212,$B78,Rótulos!$C$5:$C$212,$C78,Rótulos!$H$5:$H$212,$D78,Rótulos!$I$5:$I$212,$E78,Rótulos!$F$5:$F$212,"B2B")</f>
        <v>27</v>
      </c>
      <c r="J78" s="17" t="n">
        <f aca="false">H78+I78</f>
        <v>27</v>
      </c>
    </row>
    <row r="79" customFormat="false" ht="15" hidden="false" customHeight="false" outlineLevel="0" collapsed="false">
      <c r="A79" s="4" t="s">
        <v>52</v>
      </c>
      <c r="B79" s="4" t="s">
        <v>29</v>
      </c>
      <c r="C79" s="4" t="n">
        <v>400</v>
      </c>
      <c r="D79" s="4" t="s">
        <v>24</v>
      </c>
      <c r="E79" s="4" t="s">
        <v>31</v>
      </c>
      <c r="F79" s="4" t="s">
        <v>29</v>
      </c>
      <c r="G79" s="4" t="s">
        <v>30</v>
      </c>
      <c r="H79" s="16" t="n">
        <f aca="false">SUMIFS(Rótulos!$G$5:$G$212,Rótulos!$A$5:$A$212,$A79,Rótulos!$B$5:$B$212,$B79,Rótulos!$C$5:$C$212,$C79,Rótulos!$H$5:$H$212,$D79,Rótulos!$I$5:$I$212,$E79,Rótulos!$F$5:$F$212,"B2C")</f>
        <v>0</v>
      </c>
      <c r="I79" s="16" t="n">
        <f aca="false">SUMIFS(Rótulos!$G$5:$G$212,Rótulos!$A$5:$A$212,$A79,Rótulos!$B$5:$B$212,$B79,Rótulos!$C$5:$C$212,$C79,Rótulos!$H$5:$H$212,$D79,Rótulos!$I$5:$I$212,$E79,Rótulos!$F$5:$F$212,"B2B")</f>
        <v>2</v>
      </c>
      <c r="J79" s="17" t="n">
        <f aca="false">H79+I79</f>
        <v>2</v>
      </c>
    </row>
    <row r="80" customFormat="false" ht="15" hidden="false" customHeight="false" outlineLevel="0" collapsed="false">
      <c r="A80" s="4" t="s">
        <v>53</v>
      </c>
      <c r="B80" s="4" t="s">
        <v>12</v>
      </c>
      <c r="C80" s="4" t="n">
        <v>15</v>
      </c>
      <c r="D80" s="4" t="s">
        <v>16</v>
      </c>
      <c r="E80" s="4" t="s">
        <v>17</v>
      </c>
      <c r="F80" s="4" t="s">
        <v>14</v>
      </c>
      <c r="G80" s="4" t="s">
        <v>15</v>
      </c>
      <c r="H80" s="16" t="n">
        <f aca="false">SUMIFS(Rótulos!$G$5:$G$212,Rótulos!$A$5:$A$212,$A80,Rótulos!$B$5:$B$212,$B80,Rótulos!$C$5:$C$212,$C80,Rótulos!$H$5:$H$212,$D80,Rótulos!$I$5:$I$212,$E80,Rótulos!$F$5:$F$212,"B2C")</f>
        <v>200</v>
      </c>
      <c r="I80" s="16" t="n">
        <f aca="false">SUMIFS(Rótulos!$G$5:$G$212,Rótulos!$A$5:$A$212,$A80,Rótulos!$B$5:$B$212,$B80,Rótulos!$C$5:$C$212,$C80,Rótulos!$H$5:$H$212,$D80,Rótulos!$I$5:$I$212,$E80,Rótulos!$F$5:$F$212,"B2B")</f>
        <v>0</v>
      </c>
      <c r="J80" s="17" t="n">
        <f aca="false">H80+I80</f>
        <v>200</v>
      </c>
    </row>
    <row r="81" customFormat="false" ht="15" hidden="false" customHeight="false" outlineLevel="0" collapsed="false">
      <c r="A81" s="4" t="s">
        <v>53</v>
      </c>
      <c r="B81" s="4" t="s">
        <v>18</v>
      </c>
      <c r="C81" s="4" t="n">
        <v>250</v>
      </c>
      <c r="D81" s="4" t="s">
        <v>16</v>
      </c>
      <c r="E81" s="4" t="s">
        <v>21</v>
      </c>
      <c r="F81" s="4" t="s">
        <v>117</v>
      </c>
      <c r="G81" s="4" t="s">
        <v>15</v>
      </c>
      <c r="H81" s="16" t="n">
        <f aca="false">SUMIFS(Rótulos!$G$5:$G$212,Rótulos!$A$5:$A$212,$A81,Rótulos!$B$5:$B$212,$B81,Rótulos!$C$5:$C$212,$C81,Rótulos!$H$5:$H$212,$D81,Rótulos!$I$5:$I$212,$E81,Rótulos!$F$5:$F$212,"B2C")</f>
        <v>36</v>
      </c>
      <c r="I81" s="16" t="n">
        <f aca="false">SUMIFS(Rótulos!$G$5:$G$212,Rótulos!$A$5:$A$212,$A81,Rótulos!$B$5:$B$212,$B81,Rótulos!$C$5:$C$212,$C81,Rótulos!$H$5:$H$212,$D81,Rótulos!$I$5:$I$212,$E81,Rótulos!$F$5:$F$212,"B2B")</f>
        <v>0</v>
      </c>
      <c r="J81" s="17" t="n">
        <f aca="false">H81+I81</f>
        <v>36</v>
      </c>
    </row>
    <row r="82" customFormat="false" ht="15" hidden="false" customHeight="false" outlineLevel="0" collapsed="false">
      <c r="A82" s="4" t="s">
        <v>53</v>
      </c>
      <c r="B82" s="4" t="s">
        <v>18</v>
      </c>
      <c r="C82" s="4" t="n">
        <v>250</v>
      </c>
      <c r="D82" s="4" t="s">
        <v>24</v>
      </c>
      <c r="E82" s="4" t="s">
        <v>25</v>
      </c>
      <c r="F82" s="4" t="s">
        <v>23</v>
      </c>
      <c r="G82" s="4" t="s">
        <v>15</v>
      </c>
      <c r="H82" s="16" t="n">
        <f aca="false">SUMIFS(Rótulos!$G$5:$G$212,Rótulos!$A$5:$A$212,$A82,Rótulos!$B$5:$B$212,$B82,Rótulos!$C$5:$C$212,$C82,Rótulos!$H$5:$H$212,$D82,Rótulos!$I$5:$I$212,$E82,Rótulos!$F$5:$F$212,"B2C")</f>
        <v>12</v>
      </c>
      <c r="I82" s="16" t="n">
        <f aca="false">SUMIFS(Rótulos!$G$5:$G$212,Rótulos!$A$5:$A$212,$A82,Rótulos!$B$5:$B$212,$B82,Rótulos!$C$5:$C$212,$C82,Rótulos!$H$5:$H$212,$D82,Rótulos!$I$5:$I$212,$E82,Rótulos!$F$5:$F$212,"B2B")</f>
        <v>0</v>
      </c>
      <c r="J82" s="17" t="n">
        <f aca="false">H82+I82</f>
        <v>12</v>
      </c>
    </row>
    <row r="83" customFormat="false" ht="15" hidden="false" customHeight="false" outlineLevel="0" collapsed="false">
      <c r="A83" s="4" t="s">
        <v>54</v>
      </c>
      <c r="B83" s="4" t="s">
        <v>29</v>
      </c>
      <c r="C83" s="4" t="n">
        <v>160</v>
      </c>
      <c r="D83" s="4" t="s">
        <v>24</v>
      </c>
      <c r="E83" s="4" t="s">
        <v>110</v>
      </c>
      <c r="F83" s="4" t="s">
        <v>29</v>
      </c>
      <c r="G83" s="4" t="s">
        <v>30</v>
      </c>
      <c r="H83" s="16" t="n">
        <f aca="false">SUMIFS(Rótulos!$G$5:$G$212,Rótulos!$A$5:$A$212,$A83,Rótulos!$B$5:$B$212,$B83,Rótulos!$C$5:$C$212,$C83,Rótulos!$H$5:$H$212,$D83,Rótulos!$I$5:$I$212,"=",Rótulos!$F$5:$F$212,"B2C")</f>
        <v>0</v>
      </c>
      <c r="I83" s="16" t="n">
        <f aca="false">SUMIFS(Rótulos!$G$5:$G$212,Rótulos!$A$5:$A$212,$A83,Rótulos!$B$5:$B$212,$B83,Rótulos!$C$5:$C$212,$C83,Rótulos!$H$5:$H$212,$D83,Rótulos!$I$5:$I$212,"=",Rótulos!$F$5:$F$212,"B2B")</f>
        <v>3</v>
      </c>
      <c r="J83" s="17" t="n">
        <f aca="false">H83+I83</f>
        <v>3</v>
      </c>
    </row>
    <row r="84" customFormat="false" ht="15" hidden="false" customHeight="false" outlineLevel="0" collapsed="false">
      <c r="A84" s="4" t="s">
        <v>54</v>
      </c>
      <c r="B84" s="4" t="s">
        <v>29</v>
      </c>
      <c r="C84" s="4" t="n">
        <v>400</v>
      </c>
      <c r="D84" s="4" t="s">
        <v>24</v>
      </c>
      <c r="E84" s="4" t="s">
        <v>31</v>
      </c>
      <c r="F84" s="4" t="s">
        <v>29</v>
      </c>
      <c r="G84" s="4" t="s">
        <v>30</v>
      </c>
      <c r="H84" s="16" t="n">
        <f aca="false">SUMIFS(Rótulos!$G$5:$G$212,Rótulos!$A$5:$A$212,$A84,Rótulos!$B$5:$B$212,$B84,Rótulos!$C$5:$C$212,$C84,Rótulos!$H$5:$H$212,$D84,Rótulos!$I$5:$I$212,$E84,Rótulos!$F$5:$F$212,"B2C")</f>
        <v>0</v>
      </c>
      <c r="I84" s="16" t="n">
        <f aca="false">SUMIFS(Rótulos!$G$5:$G$212,Rótulos!$A$5:$A$212,$A84,Rótulos!$B$5:$B$212,$B84,Rótulos!$C$5:$C$212,$C84,Rótulos!$H$5:$H$212,$D84,Rótulos!$I$5:$I$212,$E84,Rótulos!$F$5:$F$212,"B2B")</f>
        <v>16</v>
      </c>
      <c r="J84" s="17" t="n">
        <f aca="false">H84+I84</f>
        <v>16</v>
      </c>
    </row>
    <row r="85" customFormat="false" ht="15" hidden="false" customHeight="false" outlineLevel="0" collapsed="false">
      <c r="A85" s="4" t="s">
        <v>54</v>
      </c>
      <c r="B85" s="4" t="s">
        <v>33</v>
      </c>
      <c r="C85" s="4" t="n">
        <v>100</v>
      </c>
      <c r="D85" s="4" t="s">
        <v>24</v>
      </c>
      <c r="E85" s="4" t="s">
        <v>34</v>
      </c>
      <c r="F85" s="4" t="s">
        <v>33</v>
      </c>
      <c r="G85" s="4" t="s">
        <v>30</v>
      </c>
      <c r="H85" s="16" t="n">
        <f aca="false">SUMIFS(Rótulos!$G$5:$G$212,Rótulos!$A$5:$A$212,$A85,Rótulos!$B$5:$B$212,$B85,Rótulos!$C$5:$C$212,$C85,Rótulos!$H$5:$H$212,$D85,Rótulos!$I$5:$I$212,$E85,Rótulos!$F$5:$F$212,"B2C")</f>
        <v>0</v>
      </c>
      <c r="I85" s="16" t="n">
        <f aca="false">SUMIFS(Rótulos!$G$5:$G$212,Rótulos!$A$5:$A$212,$A85,Rótulos!$B$5:$B$212,$B85,Rótulos!$C$5:$C$212,$C85,Rótulos!$H$5:$H$212,$D85,Rótulos!$I$5:$I$212,$E85,Rótulos!$F$5:$F$212,"B2B")</f>
        <v>10</v>
      </c>
      <c r="J85" s="17" t="n">
        <f aca="false">H85+I85</f>
        <v>10</v>
      </c>
    </row>
    <row r="86" customFormat="false" ht="15" hidden="false" customHeight="false" outlineLevel="0" collapsed="false">
      <c r="A86" s="4" t="s">
        <v>54</v>
      </c>
      <c r="B86" s="4" t="s">
        <v>33</v>
      </c>
      <c r="C86" s="4" t="n">
        <v>500</v>
      </c>
      <c r="D86" s="4" t="s">
        <v>24</v>
      </c>
      <c r="E86" s="4" t="s">
        <v>31</v>
      </c>
      <c r="F86" s="4" t="s">
        <v>33</v>
      </c>
      <c r="G86" s="4" t="s">
        <v>30</v>
      </c>
      <c r="H86" s="16" t="n">
        <f aca="false">SUMIFS(Rótulos!$G$5:$G$212,Rótulos!$A$5:$A$212,$A86,Rótulos!$B$5:$B$212,$B86,Rótulos!$C$5:$C$212,$C86,Rótulos!$H$5:$H$212,$D86,Rótulos!$I$5:$I$212,$E86,Rótulos!$F$5:$F$212,"B2C")</f>
        <v>0</v>
      </c>
      <c r="I86" s="16" t="n">
        <f aca="false">SUMIFS(Rótulos!$G$5:$G$212,Rótulos!$A$5:$A$212,$A86,Rótulos!$B$5:$B$212,$B86,Rótulos!$C$5:$C$212,$C86,Rótulos!$H$5:$H$212,$D86,Rótulos!$I$5:$I$212,$E86,Rótulos!$F$5:$F$212,"B2B")</f>
        <v>43</v>
      </c>
      <c r="J86" s="17" t="n">
        <f aca="false">H86+I86</f>
        <v>43</v>
      </c>
    </row>
    <row r="87" customFormat="false" ht="15" hidden="false" customHeight="false" outlineLevel="0" collapsed="false">
      <c r="A87" s="4" t="s">
        <v>54</v>
      </c>
      <c r="B87" s="4" t="s">
        <v>18</v>
      </c>
      <c r="C87" s="4" t="n">
        <v>150</v>
      </c>
      <c r="D87" s="4" t="s">
        <v>24</v>
      </c>
      <c r="E87" s="4" t="s">
        <v>25</v>
      </c>
      <c r="F87" s="4" t="s">
        <v>18</v>
      </c>
      <c r="G87" s="4" t="s">
        <v>30</v>
      </c>
      <c r="H87" s="16" t="n">
        <f aca="false">SUMIFS(Rótulos!$G$5:$G$212,Rótulos!$A$5:$A$212,$A87,Rótulos!$B$5:$B$212,$B87,Rótulos!$C$5:$C$212,$C87,Rótulos!$H$5:$H$212,$D87,Rótulos!$I$5:$I$212,$E87,Rótulos!$F$5:$F$212,"B2C")</f>
        <v>0</v>
      </c>
      <c r="I87" s="16" t="n">
        <f aca="false">SUMIFS(Rótulos!$G$5:$G$212,Rótulos!$A$5:$A$212,$A87,Rótulos!$B$5:$B$212,$B87,Rótulos!$C$5:$C$212,$C87,Rótulos!$H$5:$H$212,$D87,Rótulos!$I$5:$I$212,$E87,Rótulos!$F$5:$F$212,"B2B")</f>
        <v>4</v>
      </c>
      <c r="J87" s="17" t="n">
        <f aca="false">H87+I87</f>
        <v>4</v>
      </c>
    </row>
    <row r="88" customFormat="false" ht="15" hidden="false" customHeight="false" outlineLevel="0" collapsed="false">
      <c r="A88" s="4" t="s">
        <v>55</v>
      </c>
      <c r="B88" s="4" t="s">
        <v>33</v>
      </c>
      <c r="C88" s="4" t="n">
        <v>500</v>
      </c>
      <c r="D88" s="4" t="s">
        <v>24</v>
      </c>
      <c r="E88" s="4" t="s">
        <v>31</v>
      </c>
      <c r="F88" s="4" t="s">
        <v>33</v>
      </c>
      <c r="G88" s="4" t="s">
        <v>30</v>
      </c>
      <c r="H88" s="16" t="n">
        <f aca="false">SUMIFS(Rótulos!$G$5:$G$212,Rótulos!$A$5:$A$212,$A88,Rótulos!$B$5:$B$212,$B88,Rótulos!$C$5:$C$212,$C88,Rótulos!$H$5:$H$212,$D88,Rótulos!$I$5:$I$212,$E88,Rótulos!$F$5:$F$212,"B2C")</f>
        <v>0</v>
      </c>
      <c r="I88" s="16" t="n">
        <f aca="false">SUMIFS(Rótulos!$G$5:$G$212,Rótulos!$A$5:$A$212,$A88,Rótulos!$B$5:$B$212,$B88,Rótulos!$C$5:$C$212,$C88,Rótulos!$H$5:$H$212,$D88,Rótulos!$I$5:$I$212,$E88,Rótulos!$F$5:$F$212,"B2B")</f>
        <v>36</v>
      </c>
      <c r="J88" s="17" t="n">
        <f aca="false">H88+I88</f>
        <v>36</v>
      </c>
    </row>
    <row r="89" customFormat="false" ht="15" hidden="false" customHeight="false" outlineLevel="0" collapsed="false">
      <c r="A89" s="4" t="s">
        <v>56</v>
      </c>
      <c r="B89" s="4" t="s">
        <v>12</v>
      </c>
      <c r="C89" s="4" t="n">
        <v>150</v>
      </c>
      <c r="D89" s="4" t="s">
        <v>24</v>
      </c>
      <c r="E89" s="4" t="s">
        <v>25</v>
      </c>
      <c r="F89" s="4" t="s">
        <v>12</v>
      </c>
      <c r="G89" s="4" t="s">
        <v>30</v>
      </c>
      <c r="H89" s="16" t="n">
        <f aca="false">SUMIFS(Rótulos!$G$5:$G$212,Rótulos!$A$5:$A$212,$A89,Rótulos!$B$5:$B$212,$B89,Rótulos!$C$5:$C$212,$C89,Rótulos!$H$5:$H$212,$D89,Rótulos!$I$5:$I$212,$E89,Rótulos!$F$5:$F$212,"B2C")</f>
        <v>0</v>
      </c>
      <c r="I89" s="16" t="n">
        <f aca="false">SUMIFS(Rótulos!$G$5:$G$212,Rótulos!$A$5:$A$212,$A89,Rótulos!$B$5:$B$212,$B89,Rótulos!$C$5:$C$212,$C89,Rótulos!$H$5:$H$212,$D89,Rótulos!$I$5:$I$212,$E89,Rótulos!$F$5:$F$212,"B2B")</f>
        <v>25</v>
      </c>
      <c r="J89" s="17" t="n">
        <f aca="false">H89+I89</f>
        <v>25</v>
      </c>
    </row>
    <row r="90" customFormat="false" ht="15" hidden="false" customHeight="false" outlineLevel="0" collapsed="false">
      <c r="A90" s="4" t="s">
        <v>56</v>
      </c>
      <c r="B90" s="4" t="s">
        <v>12</v>
      </c>
      <c r="C90" s="4" t="n">
        <v>250</v>
      </c>
      <c r="D90" s="4" t="s">
        <v>24</v>
      </c>
      <c r="E90" s="4" t="s">
        <v>25</v>
      </c>
      <c r="F90" s="4" t="s">
        <v>12</v>
      </c>
      <c r="G90" s="4" t="s">
        <v>30</v>
      </c>
      <c r="H90" s="16" t="n">
        <f aca="false">SUMIFS(Rótulos!$G$5:$G$212,Rótulos!$A$5:$A$212,$A90,Rótulos!$B$5:$B$212,$B90,Rótulos!$C$5:$C$212,$C90,Rótulos!$H$5:$H$212,$D90,Rótulos!$I$5:$I$212,$E90,Rótulos!$F$5:$F$212,"B2C")</f>
        <v>0</v>
      </c>
      <c r="I90" s="16" t="n">
        <f aca="false">SUMIFS(Rótulos!$G$5:$G$212,Rótulos!$A$5:$A$212,$A90,Rótulos!$B$5:$B$212,$B90,Rótulos!$C$5:$C$212,$C90,Rótulos!$H$5:$H$212,$D90,Rótulos!$I$5:$I$212,$E90,Rótulos!$F$5:$F$212,"B2B")</f>
        <v>90</v>
      </c>
      <c r="J90" s="17" t="n">
        <f aca="false">H90+I90</f>
        <v>90</v>
      </c>
    </row>
    <row r="91" customFormat="false" ht="15" hidden="false" customHeight="false" outlineLevel="0" collapsed="false">
      <c r="A91" s="4" t="s">
        <v>56</v>
      </c>
      <c r="B91" s="4" t="s">
        <v>29</v>
      </c>
      <c r="C91" s="4" t="n">
        <v>160</v>
      </c>
      <c r="D91" s="4" t="s">
        <v>24</v>
      </c>
      <c r="E91" s="4" t="s">
        <v>110</v>
      </c>
      <c r="F91" s="4" t="s">
        <v>29</v>
      </c>
      <c r="G91" s="4" t="s">
        <v>30</v>
      </c>
      <c r="H91" s="16" t="n">
        <f aca="false">SUMIFS(Rótulos!$G$5:$G$212,Rótulos!$A$5:$A$212,$A91,Rótulos!$B$5:$B$212,$B91,Rótulos!$C$5:$C$212,$C91,Rótulos!$H$5:$H$212,$D91,Rótulos!$I$5:$I$212,"=",Rótulos!$F$5:$F$212,"B2C")</f>
        <v>0</v>
      </c>
      <c r="I91" s="16" t="n">
        <f aca="false">SUMIFS(Rótulos!$G$5:$G$212,Rótulos!$A$5:$A$212,$A91,Rótulos!$B$5:$B$212,$B91,Rótulos!$C$5:$C$212,$C91,Rótulos!$H$5:$H$212,$D91,Rótulos!$I$5:$I$212,"=",Rótulos!$F$5:$F$212,"B2B")</f>
        <v>7</v>
      </c>
      <c r="J91" s="17" t="n">
        <f aca="false">H91+I91</f>
        <v>7</v>
      </c>
    </row>
    <row r="92" customFormat="false" ht="15" hidden="false" customHeight="false" outlineLevel="0" collapsed="false">
      <c r="A92" s="4" t="s">
        <v>56</v>
      </c>
      <c r="B92" s="4" t="s">
        <v>29</v>
      </c>
      <c r="C92" s="4" t="n">
        <v>400</v>
      </c>
      <c r="D92" s="4" t="s">
        <v>24</v>
      </c>
      <c r="E92" s="4" t="s">
        <v>31</v>
      </c>
      <c r="F92" s="4" t="s">
        <v>29</v>
      </c>
      <c r="G92" s="4" t="s">
        <v>30</v>
      </c>
      <c r="H92" s="16" t="n">
        <f aca="false">SUMIFS(Rótulos!$G$5:$G$212,Rótulos!$A$5:$A$212,$A92,Rótulos!$B$5:$B$212,$B92,Rótulos!$C$5:$C$212,$C92,Rótulos!$H$5:$H$212,$D92,Rótulos!$I$5:$I$212,$E92,Rótulos!$F$5:$F$212,"B2C")</f>
        <v>0</v>
      </c>
      <c r="I92" s="16" t="n">
        <f aca="false">SUMIFS(Rótulos!$G$5:$G$212,Rótulos!$A$5:$A$212,$A92,Rótulos!$B$5:$B$212,$B92,Rótulos!$C$5:$C$212,$C92,Rótulos!$H$5:$H$212,$D92,Rótulos!$I$5:$I$212,$E92,Rótulos!$F$5:$F$212,"B2B")</f>
        <v>13</v>
      </c>
      <c r="J92" s="17" t="n">
        <f aca="false">H92+I92</f>
        <v>13</v>
      </c>
    </row>
    <row r="93" customFormat="false" ht="15" hidden="false" customHeight="false" outlineLevel="0" collapsed="false">
      <c r="A93" s="4" t="s">
        <v>56</v>
      </c>
      <c r="B93" s="4" t="s">
        <v>33</v>
      </c>
      <c r="C93" s="4" t="n">
        <v>100</v>
      </c>
      <c r="D93" s="4" t="s">
        <v>24</v>
      </c>
      <c r="E93" s="4" t="s">
        <v>34</v>
      </c>
      <c r="F93" s="4" t="s">
        <v>33</v>
      </c>
      <c r="G93" s="4" t="s">
        <v>30</v>
      </c>
      <c r="H93" s="16" t="n">
        <f aca="false">SUMIFS(Rótulos!$G$5:$G$212,Rótulos!$A$5:$A$212,$A93,Rótulos!$B$5:$B$212,$B93,Rótulos!$C$5:$C$212,$C93,Rótulos!$H$5:$H$212,$D93,Rótulos!$I$5:$I$212,$E93,Rótulos!$F$5:$F$212,"B2C")</f>
        <v>0</v>
      </c>
      <c r="I93" s="16" t="n">
        <f aca="false">SUMIFS(Rótulos!$G$5:$G$212,Rótulos!$A$5:$A$212,$A93,Rótulos!$B$5:$B$212,$B93,Rótulos!$C$5:$C$212,$C93,Rótulos!$H$5:$H$212,$D93,Rótulos!$I$5:$I$212,$E93,Rótulos!$F$5:$F$212,"B2B")</f>
        <v>10</v>
      </c>
      <c r="J93" s="17" t="n">
        <f aca="false">H93+I93</f>
        <v>10</v>
      </c>
    </row>
    <row r="94" customFormat="false" ht="15" hidden="false" customHeight="false" outlineLevel="0" collapsed="false">
      <c r="A94" s="4" t="s">
        <v>57</v>
      </c>
      <c r="B94" s="4" t="s">
        <v>33</v>
      </c>
      <c r="C94" s="4" t="n">
        <v>100</v>
      </c>
      <c r="D94" s="4" t="s">
        <v>24</v>
      </c>
      <c r="E94" s="4" t="s">
        <v>34</v>
      </c>
      <c r="F94" s="4" t="s">
        <v>33</v>
      </c>
      <c r="G94" s="4" t="s">
        <v>30</v>
      </c>
      <c r="H94" s="16" t="n">
        <f aca="false">SUMIFS(Rótulos!$G$5:$G$212,Rótulos!$A$5:$A$212,$A94,Rótulos!$B$5:$B$212,$B94,Rótulos!$C$5:$C$212,$C94,Rótulos!$H$5:$H$212,$D94,Rótulos!$I$5:$I$212,$E94,Rótulos!$F$5:$F$212,"B2C")</f>
        <v>0</v>
      </c>
      <c r="I94" s="16" t="n">
        <f aca="false">SUMIFS(Rótulos!$G$5:$G$212,Rótulos!$A$5:$A$212,$A94,Rótulos!$B$5:$B$212,$B94,Rótulos!$C$5:$C$212,$C94,Rótulos!$H$5:$H$212,$D94,Rótulos!$I$5:$I$212,$E94,Rótulos!$F$5:$F$212,"B2B")</f>
        <v>649</v>
      </c>
      <c r="J94" s="17" t="n">
        <f aca="false">H94+I94</f>
        <v>649</v>
      </c>
    </row>
    <row r="95" customFormat="false" ht="15" hidden="false" customHeight="false" outlineLevel="0" collapsed="false">
      <c r="A95" s="4" t="s">
        <v>58</v>
      </c>
      <c r="B95" s="4" t="s">
        <v>29</v>
      </c>
      <c r="C95" s="4" t="n">
        <v>160</v>
      </c>
      <c r="D95" s="4" t="s">
        <v>24</v>
      </c>
      <c r="E95" s="4" t="s">
        <v>110</v>
      </c>
      <c r="F95" s="4" t="s">
        <v>29</v>
      </c>
      <c r="G95" s="4" t="s">
        <v>30</v>
      </c>
      <c r="H95" s="16" t="n">
        <f aca="false">SUMIFS(Rótulos!$G$5:$G$212,Rótulos!$A$5:$A$212,$A95,Rótulos!$B$5:$B$212,$B95,Rótulos!$C$5:$C$212,$C95,Rótulos!$H$5:$H$212,$D95,Rótulos!$I$5:$I$212,"=",Rótulos!$F$5:$F$212,"B2C")</f>
        <v>0</v>
      </c>
      <c r="I95" s="16" t="n">
        <f aca="false">SUMIFS(Rótulos!$G$5:$G$212,Rótulos!$A$5:$A$212,$A95,Rótulos!$B$5:$B$212,$B95,Rótulos!$C$5:$C$212,$C95,Rótulos!$H$5:$H$212,$D95,Rótulos!$I$5:$I$212,"=",Rótulos!$F$5:$F$212,"B2B")</f>
        <v>23</v>
      </c>
      <c r="J95" s="17" t="n">
        <f aca="false">H95+I95</f>
        <v>23</v>
      </c>
    </row>
    <row r="96" customFormat="false" ht="15" hidden="false" customHeight="false" outlineLevel="0" collapsed="false">
      <c r="A96" s="4" t="s">
        <v>58</v>
      </c>
      <c r="B96" s="4" t="s">
        <v>29</v>
      </c>
      <c r="C96" s="4" t="n">
        <v>400</v>
      </c>
      <c r="D96" s="4" t="s">
        <v>24</v>
      </c>
      <c r="E96" s="4" t="s">
        <v>31</v>
      </c>
      <c r="F96" s="4" t="s">
        <v>29</v>
      </c>
      <c r="G96" s="4" t="s">
        <v>30</v>
      </c>
      <c r="H96" s="16" t="n">
        <f aca="false">SUMIFS(Rótulos!$G$5:$G$212,Rótulos!$A$5:$A$212,$A96,Rótulos!$B$5:$B$212,$B96,Rótulos!$C$5:$C$212,$C96,Rótulos!$H$5:$H$212,$D96,Rótulos!$I$5:$I$212,$E96,Rótulos!$F$5:$F$212,"B2C")</f>
        <v>0</v>
      </c>
      <c r="I96" s="16" t="n">
        <f aca="false">SUMIFS(Rótulos!$G$5:$G$212,Rótulos!$A$5:$A$212,$A96,Rótulos!$B$5:$B$212,$B96,Rótulos!$C$5:$C$212,$C96,Rótulos!$H$5:$H$212,$D96,Rótulos!$I$5:$I$212,$E96,Rótulos!$F$5:$F$212,"B2B")</f>
        <v>57</v>
      </c>
      <c r="J96" s="17" t="n">
        <f aca="false">H96+I96</f>
        <v>57</v>
      </c>
    </row>
    <row r="97" customFormat="false" ht="15" hidden="false" customHeight="false" outlineLevel="0" collapsed="false">
      <c r="A97" s="4" t="s">
        <v>58</v>
      </c>
      <c r="B97" s="4" t="s">
        <v>33</v>
      </c>
      <c r="C97" s="4" t="n">
        <v>100</v>
      </c>
      <c r="D97" s="4" t="s">
        <v>24</v>
      </c>
      <c r="E97" s="4" t="s">
        <v>34</v>
      </c>
      <c r="F97" s="4" t="s">
        <v>33</v>
      </c>
      <c r="G97" s="4" t="s">
        <v>30</v>
      </c>
      <c r="H97" s="16" t="n">
        <f aca="false">SUMIFS(Rótulos!$G$5:$G$212,Rótulos!$A$5:$A$212,$A97,Rótulos!$B$5:$B$212,$B97,Rótulos!$C$5:$C$212,$C97,Rótulos!$H$5:$H$212,$D97,Rótulos!$I$5:$I$212,$E97,Rótulos!$F$5:$F$212,"B2C")</f>
        <v>0</v>
      </c>
      <c r="I97" s="16" t="n">
        <f aca="false">SUMIFS(Rótulos!$G$5:$G$212,Rótulos!$A$5:$A$212,$A97,Rótulos!$B$5:$B$212,$B97,Rótulos!$C$5:$C$212,$C97,Rótulos!$H$5:$H$212,$D97,Rótulos!$I$5:$I$212,$E97,Rótulos!$F$5:$F$212,"B2B")</f>
        <v>28</v>
      </c>
      <c r="J97" s="17" t="n">
        <f aca="false">H97+I97</f>
        <v>28</v>
      </c>
    </row>
    <row r="98" customFormat="false" ht="15" hidden="false" customHeight="false" outlineLevel="0" collapsed="false">
      <c r="A98" s="4" t="s">
        <v>59</v>
      </c>
      <c r="B98" s="4" t="s">
        <v>29</v>
      </c>
      <c r="C98" s="4" t="n">
        <v>400</v>
      </c>
      <c r="D98" s="4" t="s">
        <v>24</v>
      </c>
      <c r="E98" s="4" t="s">
        <v>31</v>
      </c>
      <c r="F98" s="4" t="s">
        <v>29</v>
      </c>
      <c r="G98" s="4" t="s">
        <v>30</v>
      </c>
      <c r="H98" s="16" t="n">
        <f aca="false">SUMIFS(Rótulos!$G$5:$G$212,Rótulos!$A$5:$A$212,$A98,Rótulos!$B$5:$B$212,$B98,Rótulos!$C$5:$C$212,$C98,Rótulos!$H$5:$H$212,$D98,Rótulos!$I$5:$I$212,$E98,Rótulos!$F$5:$F$212,"B2C")</f>
        <v>0</v>
      </c>
      <c r="I98" s="16" t="n">
        <f aca="false">SUMIFS(Rótulos!$G$5:$G$212,Rótulos!$A$5:$A$212,$A98,Rótulos!$B$5:$B$212,$B98,Rótulos!$C$5:$C$212,$C98,Rótulos!$H$5:$H$212,$D98,Rótulos!$I$5:$I$212,$E98,Rótulos!$F$5:$F$212,"B2B")</f>
        <v>46</v>
      </c>
      <c r="J98" s="17" t="n">
        <f aca="false">H98+I98</f>
        <v>46</v>
      </c>
    </row>
    <row r="99" customFormat="false" ht="15" hidden="false" customHeight="false" outlineLevel="0" collapsed="false">
      <c r="A99" s="4" t="s">
        <v>59</v>
      </c>
      <c r="B99" s="4" t="s">
        <v>33</v>
      </c>
      <c r="C99" s="4" t="n">
        <v>100</v>
      </c>
      <c r="D99" s="4" t="s">
        <v>24</v>
      </c>
      <c r="E99" s="4" t="s">
        <v>34</v>
      </c>
      <c r="F99" s="4" t="s">
        <v>33</v>
      </c>
      <c r="G99" s="4" t="s">
        <v>30</v>
      </c>
      <c r="H99" s="16" t="n">
        <f aca="false">SUMIFS(Rótulos!$G$5:$G$212,Rótulos!$A$5:$A$212,$A99,Rótulos!$B$5:$B$212,$B99,Rótulos!$C$5:$C$212,$C99,Rótulos!$H$5:$H$212,$D99,Rótulos!$I$5:$I$212,$E99,Rótulos!$F$5:$F$212,"B2C")</f>
        <v>0</v>
      </c>
      <c r="I99" s="16" t="n">
        <f aca="false">SUMIFS(Rótulos!$G$5:$G$212,Rótulos!$A$5:$A$212,$A99,Rótulos!$B$5:$B$212,$B99,Rótulos!$C$5:$C$212,$C99,Rótulos!$H$5:$H$212,$D99,Rótulos!$I$5:$I$212,$E99,Rótulos!$F$5:$F$212,"B2B")</f>
        <v>103</v>
      </c>
      <c r="J99" s="17" t="n">
        <f aca="false">H99+I99</f>
        <v>103</v>
      </c>
    </row>
    <row r="100" customFormat="false" ht="15" hidden="false" customHeight="false" outlineLevel="0" collapsed="false">
      <c r="A100" s="4" t="s">
        <v>60</v>
      </c>
      <c r="B100" s="4" t="s">
        <v>29</v>
      </c>
      <c r="C100" s="4" t="n">
        <v>400</v>
      </c>
      <c r="D100" s="4" t="s">
        <v>24</v>
      </c>
      <c r="E100" s="4" t="s">
        <v>31</v>
      </c>
      <c r="F100" s="4" t="s">
        <v>29</v>
      </c>
      <c r="G100" s="4" t="s">
        <v>30</v>
      </c>
      <c r="H100" s="16" t="n">
        <f aca="false">SUMIFS(Rótulos!$G$5:$G$212,Rótulos!$A$5:$A$212,$A100,Rótulos!$B$5:$B$212,$B100,Rótulos!$C$5:$C$212,$C100,Rótulos!$H$5:$H$212,$D100,Rótulos!$I$5:$I$212,$E100,Rótulos!$F$5:$F$212,"B2C")</f>
        <v>0</v>
      </c>
      <c r="I100" s="16" t="n">
        <f aca="false">SUMIFS(Rótulos!$G$5:$G$212,Rótulos!$A$5:$A$212,$A100,Rótulos!$B$5:$B$212,$B100,Rótulos!$C$5:$C$212,$C100,Rótulos!$H$5:$H$212,$D100,Rótulos!$I$5:$I$212,$E100,Rótulos!$F$5:$F$212,"B2B")</f>
        <v>68</v>
      </c>
      <c r="J100" s="17" t="n">
        <f aca="false">H100+I100</f>
        <v>68</v>
      </c>
    </row>
    <row r="101" customFormat="false" ht="15" hidden="false" customHeight="false" outlineLevel="0" collapsed="false">
      <c r="A101" s="4" t="s">
        <v>60</v>
      </c>
      <c r="B101" s="4" t="s">
        <v>29</v>
      </c>
      <c r="C101" s="4" t="n">
        <v>1000</v>
      </c>
      <c r="D101" s="4" t="s">
        <v>24</v>
      </c>
      <c r="E101" s="4" t="s">
        <v>32</v>
      </c>
      <c r="F101" s="4" t="s">
        <v>29</v>
      </c>
      <c r="G101" s="4" t="s">
        <v>30</v>
      </c>
      <c r="H101" s="16" t="n">
        <f aca="false">SUMIFS(Rótulos!$G$5:$G$212,Rótulos!$A$5:$A$212,$A101,Rótulos!$B$5:$B$212,$B101,Rótulos!$C$5:$C$212,$C101,Rótulos!$H$5:$H$212,$D101,Rótulos!$I$5:$I$212,$E101,Rótulos!$F$5:$F$212,"B2C")</f>
        <v>0</v>
      </c>
      <c r="I101" s="16" t="n">
        <f aca="false">SUMIFS(Rótulos!$G$5:$G$212,Rótulos!$A$5:$A$212,$A101,Rótulos!$B$5:$B$212,$B101,Rótulos!$C$5:$C$212,$C101,Rótulos!$H$5:$H$212,$D101,Rótulos!$I$5:$I$212,$E101,Rótulos!$F$5:$F$212,"B2B")</f>
        <v>18</v>
      </c>
      <c r="J101" s="17" t="n">
        <f aca="false">H101+I101</f>
        <v>18</v>
      </c>
    </row>
    <row r="102" customFormat="false" ht="15" hidden="false" customHeight="false" outlineLevel="0" collapsed="false">
      <c r="A102" s="4" t="s">
        <v>60</v>
      </c>
      <c r="B102" s="4" t="s">
        <v>33</v>
      </c>
      <c r="C102" s="4" t="n">
        <v>100</v>
      </c>
      <c r="D102" s="4" t="s">
        <v>24</v>
      </c>
      <c r="E102" s="4" t="s">
        <v>34</v>
      </c>
      <c r="F102" s="4" t="s">
        <v>33</v>
      </c>
      <c r="G102" s="4" t="s">
        <v>30</v>
      </c>
      <c r="H102" s="16" t="n">
        <f aca="false">SUMIFS(Rótulos!$G$5:$G$212,Rótulos!$A$5:$A$212,$A102,Rótulos!$B$5:$B$212,$B102,Rótulos!$C$5:$C$212,$C102,Rótulos!$H$5:$H$212,$D102,Rótulos!$I$5:$I$212,$E102,Rótulos!$F$5:$F$212,"B2C")</f>
        <v>0</v>
      </c>
      <c r="I102" s="16" t="n">
        <f aca="false">SUMIFS(Rótulos!$G$5:$G$212,Rótulos!$A$5:$A$212,$A102,Rótulos!$B$5:$B$212,$B102,Rótulos!$C$5:$C$212,$C102,Rótulos!$H$5:$H$212,$D102,Rótulos!$I$5:$I$212,$E102,Rótulos!$F$5:$F$212,"B2B")</f>
        <v>236</v>
      </c>
      <c r="J102" s="17" t="n">
        <f aca="false">H102+I102</f>
        <v>236</v>
      </c>
    </row>
    <row r="103" customFormat="false" ht="15" hidden="false" customHeight="false" outlineLevel="0" collapsed="false">
      <c r="A103" s="4" t="s">
        <v>60</v>
      </c>
      <c r="B103" s="4" t="s">
        <v>33</v>
      </c>
      <c r="C103" s="4" t="n">
        <v>500</v>
      </c>
      <c r="D103" s="4" t="s">
        <v>24</v>
      </c>
      <c r="E103" s="4" t="s">
        <v>31</v>
      </c>
      <c r="F103" s="4" t="s">
        <v>33</v>
      </c>
      <c r="G103" s="4" t="s">
        <v>30</v>
      </c>
      <c r="H103" s="16" t="n">
        <f aca="false">SUMIFS(Rótulos!$G$5:$G$212,Rótulos!$A$5:$A$212,$A103,Rótulos!$B$5:$B$212,$B103,Rótulos!$C$5:$C$212,$C103,Rótulos!$H$5:$H$212,$D103,Rótulos!$I$5:$I$212,$E103,Rótulos!$F$5:$F$212,"B2C")</f>
        <v>0</v>
      </c>
      <c r="I103" s="16" t="n">
        <f aca="false">SUMIFS(Rótulos!$G$5:$G$212,Rótulos!$A$5:$A$212,$A103,Rótulos!$B$5:$B$212,$B103,Rótulos!$C$5:$C$212,$C103,Rótulos!$H$5:$H$212,$D103,Rótulos!$I$5:$I$212,$E103,Rótulos!$F$5:$F$212,"B2B")</f>
        <v>2</v>
      </c>
      <c r="J103" s="17" t="n">
        <f aca="false">H103+I103</f>
        <v>2</v>
      </c>
    </row>
    <row r="104" customFormat="false" ht="15" hidden="false" customHeight="false" outlineLevel="0" collapsed="false">
      <c r="A104" s="4" t="s">
        <v>60</v>
      </c>
      <c r="B104" s="4" t="s">
        <v>33</v>
      </c>
      <c r="C104" s="4" t="n">
        <v>1000</v>
      </c>
      <c r="D104" s="4" t="s">
        <v>24</v>
      </c>
      <c r="E104" s="4" t="s">
        <v>32</v>
      </c>
      <c r="F104" s="4" t="s">
        <v>33</v>
      </c>
      <c r="G104" s="4" t="s">
        <v>30</v>
      </c>
      <c r="H104" s="16" t="n">
        <f aca="false">SUMIFS(Rótulos!$G$5:$G$212,Rótulos!$A$5:$A$212,$A104,Rótulos!$B$5:$B$212,$B104,Rótulos!$C$5:$C$212,$C104,Rótulos!$H$5:$H$212,$D104,Rótulos!$I$5:$I$212,$E104,Rótulos!$F$5:$F$212,"B2C")</f>
        <v>0</v>
      </c>
      <c r="I104" s="16" t="n">
        <f aca="false">SUMIFS(Rótulos!$G$5:$G$212,Rótulos!$A$5:$A$212,$A104,Rótulos!$B$5:$B$212,$B104,Rótulos!$C$5:$C$212,$C104,Rótulos!$H$5:$H$212,$D104,Rótulos!$I$5:$I$212,$E104,Rótulos!$F$5:$F$212,"B2B")</f>
        <v>18</v>
      </c>
      <c r="J104" s="17" t="n">
        <f aca="false">H104+I104</f>
        <v>18</v>
      </c>
    </row>
    <row r="105" customFormat="false" ht="15" hidden="false" customHeight="false" outlineLevel="0" collapsed="false">
      <c r="A105" s="4" t="s">
        <v>61</v>
      </c>
      <c r="B105" s="4" t="s">
        <v>33</v>
      </c>
      <c r="C105" s="4" t="n">
        <v>500</v>
      </c>
      <c r="D105" s="4" t="s">
        <v>24</v>
      </c>
      <c r="E105" s="4" t="s">
        <v>31</v>
      </c>
      <c r="F105" s="4" t="s">
        <v>33</v>
      </c>
      <c r="G105" s="4" t="s">
        <v>30</v>
      </c>
      <c r="H105" s="16" t="n">
        <f aca="false">SUMIFS(Rótulos!$G$5:$G$212,Rótulos!$A$5:$A$212,$A105,Rótulos!$B$5:$B$212,$B105,Rótulos!$C$5:$C$212,$C105,Rótulos!$H$5:$H$212,$D105,Rótulos!$I$5:$I$212,$E105,Rótulos!$F$5:$F$212,"B2C")</f>
        <v>0</v>
      </c>
      <c r="I105" s="16" t="n">
        <f aca="false">SUMIFS(Rótulos!$G$5:$G$212,Rótulos!$A$5:$A$212,$A105,Rótulos!$B$5:$B$212,$B105,Rótulos!$C$5:$C$212,$C105,Rótulos!$H$5:$H$212,$D105,Rótulos!$I$5:$I$212,$E105,Rótulos!$F$5:$F$212,"B2B")</f>
        <v>18</v>
      </c>
      <c r="J105" s="17" t="n">
        <f aca="false">H105+I105</f>
        <v>18</v>
      </c>
    </row>
    <row r="106" customFormat="false" ht="15" hidden="false" customHeight="false" outlineLevel="0" collapsed="false">
      <c r="A106" s="4" t="s">
        <v>62</v>
      </c>
      <c r="B106" s="4" t="s">
        <v>29</v>
      </c>
      <c r="C106" s="4" t="n">
        <v>400</v>
      </c>
      <c r="D106" s="4" t="s">
        <v>24</v>
      </c>
      <c r="E106" s="4" t="s">
        <v>31</v>
      </c>
      <c r="F106" s="4" t="s">
        <v>29</v>
      </c>
      <c r="G106" s="4" t="s">
        <v>30</v>
      </c>
      <c r="H106" s="16" t="n">
        <f aca="false">SUMIFS(Rótulos!$G$5:$G$212,Rótulos!$A$5:$A$212,$A106,Rótulos!$B$5:$B$212,$B106,Rótulos!$C$5:$C$212,$C106,Rótulos!$H$5:$H$212,$D106,Rótulos!$I$5:$I$212,$E106,Rótulos!$F$5:$F$212,"B2C")</f>
        <v>0</v>
      </c>
      <c r="I106" s="16" t="n">
        <f aca="false">SUMIFS(Rótulos!$G$5:$G$212,Rótulos!$A$5:$A$212,$A106,Rótulos!$B$5:$B$212,$B106,Rótulos!$C$5:$C$212,$C106,Rótulos!$H$5:$H$212,$D106,Rótulos!$I$5:$I$212,$E106,Rótulos!$F$5:$F$212,"B2B")</f>
        <v>6</v>
      </c>
      <c r="J106" s="17" t="n">
        <f aca="false">H106+I106</f>
        <v>6</v>
      </c>
    </row>
    <row r="107" customFormat="false" ht="15" hidden="false" customHeight="false" outlineLevel="0" collapsed="false">
      <c r="A107" s="4" t="s">
        <v>62</v>
      </c>
      <c r="B107" s="4" t="s">
        <v>29</v>
      </c>
      <c r="C107" s="4" t="n">
        <v>1000</v>
      </c>
      <c r="D107" s="4" t="s">
        <v>24</v>
      </c>
      <c r="E107" s="4" t="s">
        <v>32</v>
      </c>
      <c r="F107" s="4" t="s">
        <v>29</v>
      </c>
      <c r="G107" s="4" t="s">
        <v>30</v>
      </c>
      <c r="H107" s="16" t="n">
        <f aca="false">SUMIFS(Rótulos!$G$5:$G$212,Rótulos!$A$5:$A$212,$A107,Rótulos!$B$5:$B$212,$B107,Rótulos!$C$5:$C$212,$C107,Rótulos!$H$5:$H$212,$D107,Rótulos!$I$5:$I$212,$E107,Rótulos!$F$5:$F$212,"B2C")</f>
        <v>0</v>
      </c>
      <c r="I107" s="16" t="n">
        <f aca="false">SUMIFS(Rótulos!$G$5:$G$212,Rótulos!$A$5:$A$212,$A107,Rótulos!$B$5:$B$212,$B107,Rótulos!$C$5:$C$212,$C107,Rótulos!$H$5:$H$212,$D107,Rótulos!$I$5:$I$212,$E107,Rótulos!$F$5:$F$212,"B2B")</f>
        <v>2</v>
      </c>
      <c r="J107" s="17" t="n">
        <f aca="false">H107+I107</f>
        <v>2</v>
      </c>
    </row>
    <row r="108" customFormat="false" ht="15" hidden="false" customHeight="false" outlineLevel="0" collapsed="false">
      <c r="A108" s="4" t="s">
        <v>62</v>
      </c>
      <c r="B108" s="4" t="s">
        <v>33</v>
      </c>
      <c r="C108" s="4" t="n">
        <v>500</v>
      </c>
      <c r="D108" s="4" t="s">
        <v>24</v>
      </c>
      <c r="E108" s="4" t="s">
        <v>31</v>
      </c>
      <c r="F108" s="4" t="s">
        <v>33</v>
      </c>
      <c r="G108" s="4" t="s">
        <v>30</v>
      </c>
      <c r="H108" s="16" t="n">
        <f aca="false">SUMIFS(Rótulos!$G$5:$G$212,Rótulos!$A$5:$A$212,$A108,Rótulos!$B$5:$B$212,$B108,Rótulos!$C$5:$C$212,$C108,Rótulos!$H$5:$H$212,$D108,Rótulos!$I$5:$I$212,$E108,Rótulos!$F$5:$F$212,"B2C")</f>
        <v>0</v>
      </c>
      <c r="I108" s="16" t="n">
        <f aca="false">SUMIFS(Rótulos!$G$5:$G$212,Rótulos!$A$5:$A$212,$A108,Rótulos!$B$5:$B$212,$B108,Rótulos!$C$5:$C$212,$C108,Rótulos!$H$5:$H$212,$D108,Rótulos!$I$5:$I$212,$E108,Rótulos!$F$5:$F$212,"B2B")</f>
        <v>23</v>
      </c>
      <c r="J108" s="17" t="n">
        <f aca="false">H108+I108</f>
        <v>23</v>
      </c>
    </row>
    <row r="109" customFormat="false" ht="15" hidden="false" customHeight="false" outlineLevel="0" collapsed="false">
      <c r="A109" s="4" t="s">
        <v>63</v>
      </c>
      <c r="B109" s="4" t="s">
        <v>33</v>
      </c>
      <c r="C109" s="4" t="n">
        <v>100</v>
      </c>
      <c r="D109" s="4" t="s">
        <v>24</v>
      </c>
      <c r="E109" s="4" t="s">
        <v>34</v>
      </c>
      <c r="F109" s="4" t="s">
        <v>33</v>
      </c>
      <c r="G109" s="4" t="s">
        <v>30</v>
      </c>
      <c r="H109" s="16" t="n">
        <f aca="false">SUMIFS(Rótulos!$G$5:$G$212,Rótulos!$A$5:$A$212,$A109,Rótulos!$B$5:$B$212,$B109,Rótulos!$C$5:$C$212,$C109,Rótulos!$H$5:$H$212,$D109,Rótulos!$I$5:$I$212,$E109,Rótulos!$F$5:$F$212,"B2C")</f>
        <v>0</v>
      </c>
      <c r="I109" s="16" t="n">
        <f aca="false">SUMIFS(Rótulos!$G$5:$G$212,Rótulos!$A$5:$A$212,$A109,Rótulos!$B$5:$B$212,$B109,Rótulos!$C$5:$C$212,$C109,Rótulos!$H$5:$H$212,$D109,Rótulos!$I$5:$I$212,$E109,Rótulos!$F$5:$F$212,"B2B")</f>
        <v>27</v>
      </c>
      <c r="J109" s="17" t="n">
        <f aca="false">H109+I109</f>
        <v>27</v>
      </c>
    </row>
    <row r="110" customFormat="false" ht="15" hidden="false" customHeight="false" outlineLevel="0" collapsed="false">
      <c r="A110" s="4" t="s">
        <v>63</v>
      </c>
      <c r="B110" s="4" t="s">
        <v>33</v>
      </c>
      <c r="C110" s="4" t="n">
        <v>500</v>
      </c>
      <c r="D110" s="4" t="s">
        <v>24</v>
      </c>
      <c r="E110" s="4" t="s">
        <v>31</v>
      </c>
      <c r="F110" s="4" t="s">
        <v>33</v>
      </c>
      <c r="G110" s="4" t="s">
        <v>30</v>
      </c>
      <c r="H110" s="16" t="n">
        <f aca="false">SUMIFS(Rótulos!$G$5:$G$212,Rótulos!$A$5:$A$212,$A110,Rótulos!$B$5:$B$212,$B110,Rótulos!$C$5:$C$212,$C110,Rótulos!$H$5:$H$212,$D110,Rótulos!$I$5:$I$212,$E110,Rótulos!$F$5:$F$212,"B2C")</f>
        <v>0</v>
      </c>
      <c r="I110" s="16" t="n">
        <f aca="false">SUMIFS(Rótulos!$G$5:$G$212,Rótulos!$A$5:$A$212,$A110,Rótulos!$B$5:$B$212,$B110,Rótulos!$C$5:$C$212,$C110,Rótulos!$H$5:$H$212,$D110,Rótulos!$I$5:$I$212,$E110,Rótulos!$F$5:$F$212,"B2B")</f>
        <v>379</v>
      </c>
      <c r="J110" s="17" t="n">
        <f aca="false">H110+I110</f>
        <v>379</v>
      </c>
    </row>
    <row r="111" customFormat="false" ht="15" hidden="false" customHeight="false" outlineLevel="0" collapsed="false">
      <c r="A111" s="4" t="s">
        <v>64</v>
      </c>
      <c r="B111" s="4" t="s">
        <v>29</v>
      </c>
      <c r="C111" s="4" t="n">
        <v>400</v>
      </c>
      <c r="D111" s="4" t="s">
        <v>24</v>
      </c>
      <c r="E111" s="4" t="s">
        <v>31</v>
      </c>
      <c r="F111" s="4" t="s">
        <v>29</v>
      </c>
      <c r="G111" s="4" t="s">
        <v>30</v>
      </c>
      <c r="H111" s="16" t="n">
        <f aca="false">SUMIFS(Rótulos!$G$5:$G$212,Rótulos!$A$5:$A$212,$A111,Rótulos!$B$5:$B$212,$B111,Rótulos!$C$5:$C$212,$C111,Rótulos!$H$5:$H$212,$D111,Rótulos!$I$5:$I$212,$E111,Rótulos!$F$5:$F$212,"B2C")</f>
        <v>0</v>
      </c>
      <c r="I111" s="16" t="n">
        <f aca="false">SUMIFS(Rótulos!$G$5:$G$212,Rótulos!$A$5:$A$212,$A111,Rótulos!$B$5:$B$212,$B111,Rótulos!$C$5:$C$212,$C111,Rótulos!$H$5:$H$212,$D111,Rótulos!$I$5:$I$212,$E111,Rótulos!$F$5:$F$212,"B2B")</f>
        <v>6</v>
      </c>
      <c r="J111" s="17" t="n">
        <f aca="false">H111+I111</f>
        <v>6</v>
      </c>
    </row>
    <row r="112" customFormat="false" ht="15" hidden="false" customHeight="false" outlineLevel="0" collapsed="false">
      <c r="A112" s="4" t="s">
        <v>64</v>
      </c>
      <c r="B112" s="4" t="s">
        <v>33</v>
      </c>
      <c r="C112" s="4" t="n">
        <v>100</v>
      </c>
      <c r="D112" s="4" t="s">
        <v>24</v>
      </c>
      <c r="E112" s="4" t="s">
        <v>34</v>
      </c>
      <c r="F112" s="4" t="s">
        <v>33</v>
      </c>
      <c r="G112" s="4" t="s">
        <v>30</v>
      </c>
      <c r="H112" s="16" t="n">
        <f aca="false">SUMIFS(Rótulos!$G$5:$G$212,Rótulos!$A$5:$A$212,$A112,Rótulos!$B$5:$B$212,$B112,Rótulos!$C$5:$C$212,$C112,Rótulos!$H$5:$H$212,$D112,Rótulos!$I$5:$I$212,$E112,Rótulos!$F$5:$F$212,"B2C")</f>
        <v>0</v>
      </c>
      <c r="I112" s="16" t="n">
        <f aca="false">SUMIFS(Rótulos!$G$5:$G$212,Rótulos!$A$5:$A$212,$A112,Rótulos!$B$5:$B$212,$B112,Rótulos!$C$5:$C$212,$C112,Rótulos!$H$5:$H$212,$D112,Rótulos!$I$5:$I$212,$E112,Rótulos!$F$5:$F$212,"B2B")</f>
        <v>7</v>
      </c>
      <c r="J112" s="17" t="n">
        <f aca="false">H112+I112</f>
        <v>7</v>
      </c>
    </row>
    <row r="113" customFormat="false" ht="15" hidden="false" customHeight="false" outlineLevel="0" collapsed="false">
      <c r="A113" s="4" t="s">
        <v>64</v>
      </c>
      <c r="B113" s="4" t="s">
        <v>33</v>
      </c>
      <c r="C113" s="4" t="n">
        <v>500</v>
      </c>
      <c r="D113" s="4" t="s">
        <v>24</v>
      </c>
      <c r="E113" s="4" t="s">
        <v>31</v>
      </c>
      <c r="F113" s="4" t="s">
        <v>33</v>
      </c>
      <c r="G113" s="4" t="s">
        <v>30</v>
      </c>
      <c r="H113" s="16" t="n">
        <f aca="false">SUMIFS(Rótulos!$G$5:$G$212,Rótulos!$A$5:$A$212,$A113,Rótulos!$B$5:$B$212,$B113,Rótulos!$C$5:$C$212,$C113,Rótulos!$H$5:$H$212,$D113,Rótulos!$I$5:$I$212,$E113,Rótulos!$F$5:$F$212,"B2C")</f>
        <v>0</v>
      </c>
      <c r="I113" s="16" t="n">
        <f aca="false">SUMIFS(Rótulos!$G$5:$G$212,Rótulos!$A$5:$A$212,$A113,Rótulos!$B$5:$B$212,$B113,Rótulos!$C$5:$C$212,$C113,Rótulos!$H$5:$H$212,$D113,Rótulos!$I$5:$I$212,$E113,Rótulos!$F$5:$F$212,"B2B")</f>
        <v>11</v>
      </c>
      <c r="J113" s="17" t="n">
        <f aca="false">H113+I113</f>
        <v>11</v>
      </c>
    </row>
    <row r="114" customFormat="false" ht="15" hidden="false" customHeight="false" outlineLevel="0" collapsed="false">
      <c r="A114" s="4" t="s">
        <v>64</v>
      </c>
      <c r="B114" s="4" t="s">
        <v>33</v>
      </c>
      <c r="C114" s="4" t="n">
        <v>1000</v>
      </c>
      <c r="D114" s="4" t="s">
        <v>24</v>
      </c>
      <c r="E114" s="4" t="s">
        <v>32</v>
      </c>
      <c r="F114" s="4" t="s">
        <v>33</v>
      </c>
      <c r="G114" s="4" t="s">
        <v>30</v>
      </c>
      <c r="H114" s="16" t="n">
        <f aca="false">SUMIFS(Rótulos!$G$5:$G$212,Rótulos!$A$5:$A$212,$A114,Rótulos!$B$5:$B$212,$B114,Rótulos!$C$5:$C$212,$C114,Rótulos!$H$5:$H$212,$D114,Rótulos!$I$5:$I$212,$E114,Rótulos!$F$5:$F$212,"B2C")</f>
        <v>0</v>
      </c>
      <c r="I114" s="16" t="n">
        <f aca="false">SUMIFS(Rótulos!$G$5:$G$212,Rótulos!$A$5:$A$212,$A114,Rótulos!$B$5:$B$212,$B114,Rótulos!$C$5:$C$212,$C114,Rótulos!$H$5:$H$212,$D114,Rótulos!$I$5:$I$212,$E114,Rótulos!$F$5:$F$212,"B2B")</f>
        <v>7</v>
      </c>
      <c r="J114" s="17" t="n">
        <f aca="false">H114+I114</f>
        <v>7</v>
      </c>
    </row>
    <row r="115" customFormat="false" ht="15" hidden="false" customHeight="false" outlineLevel="0" collapsed="false">
      <c r="A115" s="4" t="s">
        <v>65</v>
      </c>
      <c r="B115" s="4" t="s">
        <v>29</v>
      </c>
      <c r="C115" s="4" t="n">
        <v>1000</v>
      </c>
      <c r="D115" s="4" t="s">
        <v>24</v>
      </c>
      <c r="E115" s="4" t="s">
        <v>32</v>
      </c>
      <c r="F115" s="4" t="s">
        <v>29</v>
      </c>
      <c r="G115" s="4" t="s">
        <v>30</v>
      </c>
      <c r="H115" s="16" t="n">
        <f aca="false">SUMIFS(Rótulos!$G$5:$G$212,Rótulos!$A$5:$A$212,$A115,Rótulos!$B$5:$B$212,$B115,Rótulos!$C$5:$C$212,$C115,Rótulos!$H$5:$H$212,$D115,Rótulos!$I$5:$I$212,$E115,Rótulos!$F$5:$F$212,"B2C")</f>
        <v>0</v>
      </c>
      <c r="I115" s="16" t="n">
        <f aca="false">SUMIFS(Rótulos!$G$5:$G$212,Rótulos!$A$5:$A$212,$A115,Rótulos!$B$5:$B$212,$B115,Rótulos!$C$5:$C$212,$C115,Rótulos!$H$5:$H$212,$D115,Rótulos!$I$5:$I$212,$E115,Rótulos!$F$5:$F$212,"B2B")</f>
        <v>9</v>
      </c>
      <c r="J115" s="17" t="n">
        <f aca="false">H115+I115</f>
        <v>9</v>
      </c>
    </row>
    <row r="116" customFormat="false" ht="15" hidden="false" customHeight="false" outlineLevel="0" collapsed="false">
      <c r="A116" s="4" t="s">
        <v>65</v>
      </c>
      <c r="B116" s="4" t="s">
        <v>33</v>
      </c>
      <c r="C116" s="4" t="n">
        <v>500</v>
      </c>
      <c r="D116" s="4" t="s">
        <v>24</v>
      </c>
      <c r="E116" s="4" t="s">
        <v>31</v>
      </c>
      <c r="F116" s="4" t="s">
        <v>33</v>
      </c>
      <c r="G116" s="4" t="s">
        <v>30</v>
      </c>
      <c r="H116" s="16" t="n">
        <f aca="false">SUMIFS(Rótulos!$G$5:$G$212,Rótulos!$A$5:$A$212,$A116,Rótulos!$B$5:$B$212,$B116,Rótulos!$C$5:$C$212,$C116,Rótulos!$H$5:$H$212,$D116,Rótulos!$I$5:$I$212,$E116,Rótulos!$F$5:$F$212,"B2C")</f>
        <v>0</v>
      </c>
      <c r="I116" s="16" t="n">
        <f aca="false">SUMIFS(Rótulos!$G$5:$G$212,Rótulos!$A$5:$A$212,$A116,Rótulos!$B$5:$B$212,$B116,Rótulos!$C$5:$C$212,$C116,Rótulos!$H$5:$H$212,$D116,Rótulos!$I$5:$I$212,$E116,Rótulos!$F$5:$F$212,"B2B")</f>
        <v>1</v>
      </c>
      <c r="J116" s="17" t="n">
        <f aca="false">H116+I116</f>
        <v>1</v>
      </c>
    </row>
    <row r="117" customFormat="false" ht="15" hidden="false" customHeight="false" outlineLevel="0" collapsed="false">
      <c r="A117" s="4" t="s">
        <v>66</v>
      </c>
      <c r="B117" s="4" t="s">
        <v>29</v>
      </c>
      <c r="C117" s="4" t="n">
        <v>1000</v>
      </c>
      <c r="D117" s="4" t="s">
        <v>24</v>
      </c>
      <c r="E117" s="4" t="s">
        <v>32</v>
      </c>
      <c r="F117" s="4" t="s">
        <v>29</v>
      </c>
      <c r="G117" s="4" t="s">
        <v>30</v>
      </c>
      <c r="H117" s="16" t="n">
        <f aca="false">SUMIFS(Rótulos!$G$5:$G$212,Rótulos!$A$5:$A$212,$A117,Rótulos!$B$5:$B$212,$B117,Rótulos!$C$5:$C$212,$C117,Rótulos!$H$5:$H$212,$D117,Rótulos!$I$5:$I$212,$E117,Rótulos!$F$5:$F$212,"B2C")</f>
        <v>0</v>
      </c>
      <c r="I117" s="16" t="n">
        <f aca="false">SUMIFS(Rótulos!$G$5:$G$212,Rótulos!$A$5:$A$212,$A117,Rótulos!$B$5:$B$212,$B117,Rótulos!$C$5:$C$212,$C117,Rótulos!$H$5:$H$212,$D117,Rótulos!$I$5:$I$212,$E117,Rótulos!$F$5:$F$212,"B2B")</f>
        <v>22</v>
      </c>
      <c r="J117" s="17" t="n">
        <f aca="false">H117+I117</f>
        <v>22</v>
      </c>
    </row>
    <row r="118" customFormat="false" ht="15" hidden="false" customHeight="false" outlineLevel="0" collapsed="false">
      <c r="A118" s="4" t="s">
        <v>66</v>
      </c>
      <c r="B118" s="4" t="s">
        <v>33</v>
      </c>
      <c r="C118" s="4" t="n">
        <v>500</v>
      </c>
      <c r="D118" s="4" t="s">
        <v>24</v>
      </c>
      <c r="E118" s="4" t="s">
        <v>31</v>
      </c>
      <c r="F118" s="4" t="s">
        <v>33</v>
      </c>
      <c r="G118" s="4" t="s">
        <v>30</v>
      </c>
      <c r="H118" s="16" t="n">
        <f aca="false">SUMIFS(Rótulos!$G$5:$G$212,Rótulos!$A$5:$A$212,$A118,Rótulos!$B$5:$B$212,$B118,Rótulos!$C$5:$C$212,$C118,Rótulos!$H$5:$H$212,$D118,Rótulos!$I$5:$I$212,$E118,Rótulos!$F$5:$F$212,"B2C")</f>
        <v>0</v>
      </c>
      <c r="I118" s="16" t="n">
        <f aca="false">SUMIFS(Rótulos!$G$5:$G$212,Rótulos!$A$5:$A$212,$A118,Rótulos!$B$5:$B$212,$B118,Rótulos!$C$5:$C$212,$C118,Rótulos!$H$5:$H$212,$D118,Rótulos!$I$5:$I$212,$E118,Rótulos!$F$5:$F$212,"B2B")</f>
        <v>6</v>
      </c>
      <c r="J118" s="17" t="n">
        <f aca="false">H118+I118</f>
        <v>6</v>
      </c>
    </row>
    <row r="119" customFormat="false" ht="15" hidden="false" customHeight="false" outlineLevel="0" collapsed="false">
      <c r="A119" s="4" t="s">
        <v>67</v>
      </c>
      <c r="B119" s="4" t="s">
        <v>29</v>
      </c>
      <c r="C119" s="4" t="n">
        <v>400</v>
      </c>
      <c r="D119" s="4" t="s">
        <v>24</v>
      </c>
      <c r="E119" s="4" t="s">
        <v>31</v>
      </c>
      <c r="F119" s="4" t="s">
        <v>29</v>
      </c>
      <c r="G119" s="4" t="s">
        <v>30</v>
      </c>
      <c r="H119" s="16" t="n">
        <f aca="false">SUMIFS(Rótulos!$G$5:$G$212,Rótulos!$A$5:$A$212,$A119,Rótulos!$B$5:$B$212,$B119,Rótulos!$C$5:$C$212,$C119,Rótulos!$H$5:$H$212,$D119,Rótulos!$I$5:$I$212,$E119,Rótulos!$F$5:$F$212,"B2C")</f>
        <v>0</v>
      </c>
      <c r="I119" s="16" t="n">
        <f aca="false">SUMIFS(Rótulos!$G$5:$G$212,Rótulos!$A$5:$A$212,$A119,Rótulos!$B$5:$B$212,$B119,Rótulos!$C$5:$C$212,$C119,Rótulos!$H$5:$H$212,$D119,Rótulos!$I$5:$I$212,$E119,Rótulos!$F$5:$F$212,"B2B")</f>
        <v>5</v>
      </c>
      <c r="J119" s="17" t="n">
        <f aca="false">H119+I119</f>
        <v>5</v>
      </c>
    </row>
    <row r="120" customFormat="false" ht="15" hidden="false" customHeight="false" outlineLevel="0" collapsed="false">
      <c r="A120" s="4" t="s">
        <v>67</v>
      </c>
      <c r="B120" s="4" t="s">
        <v>33</v>
      </c>
      <c r="C120" s="4" t="n">
        <v>500</v>
      </c>
      <c r="D120" s="4" t="s">
        <v>24</v>
      </c>
      <c r="E120" s="4" t="s">
        <v>31</v>
      </c>
      <c r="F120" s="4" t="s">
        <v>33</v>
      </c>
      <c r="G120" s="4" t="s">
        <v>30</v>
      </c>
      <c r="H120" s="16" t="n">
        <f aca="false">SUMIFS(Rótulos!$G$5:$G$212,Rótulos!$A$5:$A$212,$A120,Rótulos!$B$5:$B$212,$B120,Rótulos!$C$5:$C$212,$C120,Rótulos!$H$5:$H$212,$D120,Rótulos!$I$5:$I$212,$E120,Rótulos!$F$5:$F$212,"B2C")</f>
        <v>0</v>
      </c>
      <c r="I120" s="16" t="n">
        <f aca="false">SUMIFS(Rótulos!$G$5:$G$212,Rótulos!$A$5:$A$212,$A120,Rótulos!$B$5:$B$212,$B120,Rótulos!$C$5:$C$212,$C120,Rótulos!$H$5:$H$212,$D120,Rótulos!$I$5:$I$212,$E120,Rótulos!$F$5:$F$212,"B2B")</f>
        <v>6</v>
      </c>
      <c r="J120" s="17" t="n">
        <f aca="false">H120+I120</f>
        <v>6</v>
      </c>
    </row>
    <row r="121" customFormat="false" ht="15" hidden="false" customHeight="false" outlineLevel="0" collapsed="false">
      <c r="A121" s="4" t="s">
        <v>68</v>
      </c>
      <c r="B121" s="4" t="s">
        <v>18</v>
      </c>
      <c r="C121" s="4" t="n">
        <v>150</v>
      </c>
      <c r="D121" s="4" t="s">
        <v>24</v>
      </c>
      <c r="E121" s="4" t="s">
        <v>25</v>
      </c>
      <c r="F121" s="4" t="s">
        <v>18</v>
      </c>
      <c r="G121" s="4" t="s">
        <v>30</v>
      </c>
      <c r="H121" s="16" t="n">
        <f aca="false">SUMIFS(Rótulos!$G$5:$G$212,Rótulos!$A$5:$A$212,$A121,Rótulos!$B$5:$B$212,$B121,Rótulos!$C$5:$C$212,$C121,Rótulos!$H$5:$H$212,$D121,Rótulos!$I$5:$I$212,$E121,Rótulos!$F$5:$F$212,"B2C")</f>
        <v>0</v>
      </c>
      <c r="I121" s="16" t="n">
        <f aca="false">SUMIFS(Rótulos!$G$5:$G$212,Rótulos!$A$5:$A$212,$A121,Rótulos!$B$5:$B$212,$B121,Rótulos!$C$5:$C$212,$C121,Rótulos!$H$5:$H$212,$D121,Rótulos!$I$5:$I$212,$E121,Rótulos!$F$5:$F$212,"B2B")</f>
        <v>9</v>
      </c>
      <c r="J121" s="17" t="n">
        <f aca="false">H121+I121</f>
        <v>9</v>
      </c>
    </row>
    <row r="122" customFormat="false" ht="15" hidden="false" customHeight="false" outlineLevel="0" collapsed="false">
      <c r="A122" s="4" t="s">
        <v>69</v>
      </c>
      <c r="B122" s="4" t="s">
        <v>33</v>
      </c>
      <c r="C122" s="4" t="n">
        <v>100</v>
      </c>
      <c r="D122" s="4" t="s">
        <v>24</v>
      </c>
      <c r="E122" s="4" t="s">
        <v>34</v>
      </c>
      <c r="F122" s="4" t="s">
        <v>33</v>
      </c>
      <c r="G122" s="4" t="s">
        <v>30</v>
      </c>
      <c r="H122" s="16" t="n">
        <f aca="false">SUMIFS(Rótulos!$G$5:$G$212,Rótulos!$A$5:$A$212,$A122,Rótulos!$B$5:$B$212,$B122,Rótulos!$C$5:$C$212,$C122,Rótulos!$H$5:$H$212,$D122,Rótulos!$I$5:$I$212,$E122,Rótulos!$F$5:$F$212,"B2C")</f>
        <v>0</v>
      </c>
      <c r="I122" s="16" t="n">
        <f aca="false">SUMIFS(Rótulos!$G$5:$G$212,Rótulos!$A$5:$A$212,$A122,Rótulos!$B$5:$B$212,$B122,Rótulos!$C$5:$C$212,$C122,Rótulos!$H$5:$H$212,$D122,Rótulos!$I$5:$I$212,$E122,Rótulos!$F$5:$F$212,"B2B")</f>
        <v>2</v>
      </c>
      <c r="J122" s="17" t="n">
        <f aca="false">H122+I122</f>
        <v>2</v>
      </c>
    </row>
    <row r="123" customFormat="false" ht="15" hidden="false" customHeight="false" outlineLevel="0" collapsed="false">
      <c r="A123" s="4" t="s">
        <v>69</v>
      </c>
      <c r="B123" s="4" t="s">
        <v>18</v>
      </c>
      <c r="C123" s="4" t="n">
        <v>150</v>
      </c>
      <c r="D123" s="4" t="s">
        <v>24</v>
      </c>
      <c r="E123" s="4" t="s">
        <v>25</v>
      </c>
      <c r="F123" s="4" t="s">
        <v>18</v>
      </c>
      <c r="G123" s="4" t="s">
        <v>30</v>
      </c>
      <c r="H123" s="16" t="n">
        <f aca="false">SUMIFS(Rótulos!$G$5:$G$212,Rótulos!$A$5:$A$212,$A123,Rótulos!$B$5:$B$212,$B123,Rótulos!$C$5:$C$212,$C123,Rótulos!$H$5:$H$212,$D123,Rótulos!$I$5:$I$212,$E123,Rótulos!$F$5:$F$212,"B2C")</f>
        <v>0</v>
      </c>
      <c r="I123" s="16" t="n">
        <f aca="false">SUMIFS(Rótulos!$G$5:$G$212,Rótulos!$A$5:$A$212,$A123,Rótulos!$B$5:$B$212,$B123,Rótulos!$C$5:$C$212,$C123,Rótulos!$H$5:$H$212,$D123,Rótulos!$I$5:$I$212,$E123,Rótulos!$F$5:$F$212,"B2B")</f>
        <v>8</v>
      </c>
      <c r="J123" s="17" t="n">
        <f aca="false">H123+I123</f>
        <v>8</v>
      </c>
    </row>
    <row r="124" customFormat="false" ht="15" hidden="false" customHeight="false" outlineLevel="0" collapsed="false">
      <c r="A124" s="4" t="s">
        <v>69</v>
      </c>
      <c r="B124" s="4" t="s">
        <v>12</v>
      </c>
      <c r="C124" s="4" t="n">
        <v>15</v>
      </c>
      <c r="D124" s="4" t="s">
        <v>16</v>
      </c>
      <c r="E124" s="4" t="s">
        <v>17</v>
      </c>
      <c r="F124" s="4" t="s">
        <v>14</v>
      </c>
      <c r="G124" s="4" t="s">
        <v>15</v>
      </c>
      <c r="H124" s="16" t="n">
        <f aca="false">SUMIFS(Rótulos!$G$5:$G$212,Rótulos!$A$5:$A$212,$A124,Rótulos!$B$5:$B$212,$B124,Rótulos!$C$5:$C$212,$C124,Rótulos!$H$5:$H$212,$D124,Rótulos!$I$5:$I$212,$E124,Rótulos!$F$5:$F$212,"B2C")</f>
        <v>100</v>
      </c>
      <c r="I124" s="16" t="n">
        <f aca="false">SUMIFS(Rótulos!$G$5:$G$212,Rótulos!$A$5:$A$212,$A124,Rótulos!$B$5:$B$212,$B124,Rótulos!$C$5:$C$212,$C124,Rótulos!$H$5:$H$212,$D124,Rótulos!$I$5:$I$212,$E124,Rótulos!$F$5:$F$212,"B2B")</f>
        <v>0</v>
      </c>
      <c r="J124" s="17" t="n">
        <f aca="false">H124+I124</f>
        <v>100</v>
      </c>
    </row>
    <row r="125" customFormat="false" ht="15" hidden="false" customHeight="false" outlineLevel="0" collapsed="false">
      <c r="A125" s="4" t="s">
        <v>69</v>
      </c>
      <c r="B125" s="4" t="s">
        <v>12</v>
      </c>
      <c r="C125" s="4" t="n">
        <v>500</v>
      </c>
      <c r="D125" s="4" t="s">
        <v>24</v>
      </c>
      <c r="E125" s="4" t="s">
        <v>31</v>
      </c>
      <c r="F125" s="4" t="s">
        <v>35</v>
      </c>
      <c r="G125" s="4" t="s">
        <v>15</v>
      </c>
      <c r="H125" s="16" t="n">
        <f aca="false">SUMIFS(Rótulos!$G$5:$G$212,Rótulos!$A$5:$A$212,$A125,Rótulos!$B$5:$B$212,$B125,Rótulos!$C$5:$C$212,$C125,Rótulos!$H$5:$H$212,$D125,Rótulos!$I$5:$I$212,$E125,Rótulos!$F$5:$F$212,"B2C")</f>
        <v>10</v>
      </c>
      <c r="I125" s="16" t="n">
        <f aca="false">SUMIFS(Rótulos!$G$5:$G$212,Rótulos!$A$5:$A$212,$A125,Rótulos!$B$5:$B$212,$B125,Rótulos!$C$5:$C$212,$C125,Rótulos!$H$5:$H$212,$D125,Rótulos!$I$5:$I$212,$E125,Rótulos!$F$5:$F$212,"B2B")</f>
        <v>0</v>
      </c>
      <c r="J125" s="17" t="n">
        <f aca="false">H125+I125</f>
        <v>10</v>
      </c>
    </row>
    <row r="126" customFormat="false" ht="15" hidden="false" customHeight="false" outlineLevel="0" collapsed="false">
      <c r="A126" s="4" t="s">
        <v>69</v>
      </c>
      <c r="B126" s="4" t="s">
        <v>29</v>
      </c>
      <c r="C126" s="4" t="n">
        <v>15</v>
      </c>
      <c r="D126" s="4" t="s">
        <v>16</v>
      </c>
      <c r="E126" s="4" t="s">
        <v>17</v>
      </c>
      <c r="F126" s="4" t="s">
        <v>36</v>
      </c>
      <c r="G126" s="4" t="s">
        <v>15</v>
      </c>
      <c r="H126" s="16" t="n">
        <f aca="false">SUMIFS(Rótulos!$G$5:$G$212,Rótulos!$A$5:$A$212,$A126,Rótulos!$B$5:$B$212,$B126,Rótulos!$C$5:$C$212,$C126,Rótulos!$H$5:$H$212,$D126,Rótulos!$I$5:$I$212,$E126,Rótulos!$F$5:$F$212,"B2C")</f>
        <v>100</v>
      </c>
      <c r="I126" s="16" t="n">
        <f aca="false">SUMIFS(Rótulos!$G$5:$G$212,Rótulos!$A$5:$A$212,$A126,Rótulos!$B$5:$B$212,$B126,Rótulos!$C$5:$C$212,$C126,Rótulos!$H$5:$H$212,$D126,Rótulos!$I$5:$I$212,$E126,Rótulos!$F$5:$F$212,"B2B")</f>
        <v>0</v>
      </c>
      <c r="J126" s="17" t="n">
        <f aca="false">H126+I126</f>
        <v>100</v>
      </c>
    </row>
    <row r="127" customFormat="false" ht="15" hidden="false" customHeight="false" outlineLevel="0" collapsed="false">
      <c r="A127" s="4" t="s">
        <v>69</v>
      </c>
      <c r="B127" s="4" t="s">
        <v>29</v>
      </c>
      <c r="C127" s="4" t="n">
        <v>100</v>
      </c>
      <c r="D127" s="4" t="s">
        <v>24</v>
      </c>
      <c r="E127" s="4" t="s">
        <v>34</v>
      </c>
      <c r="F127" s="4" t="s">
        <v>36</v>
      </c>
      <c r="G127" s="4" t="s">
        <v>15</v>
      </c>
      <c r="H127" s="16" t="n">
        <f aca="false">SUMIFS(Rótulos!$G$5:$G$212,Rótulos!$A$5:$A$212,$A127,Rótulos!$B$5:$B$212,$B127,Rótulos!$C$5:$C$212,$C127,Rótulos!$H$5:$H$212,$D127,Rótulos!$I$5:$I$212,$E127,Rótulos!$F$5:$F$212,"B2C")</f>
        <v>30</v>
      </c>
      <c r="I127" s="16" t="n">
        <f aca="false">SUMIFS(Rótulos!$G$5:$G$212,Rótulos!$A$5:$A$212,$A127,Rótulos!$B$5:$B$212,$B127,Rótulos!$C$5:$C$212,$C127,Rótulos!$H$5:$H$212,$D127,Rótulos!$I$5:$I$212,$E127,Rótulos!$F$5:$F$212,"B2B")</f>
        <v>0</v>
      </c>
      <c r="J127" s="17" t="n">
        <f aca="false">H127+I127</f>
        <v>30</v>
      </c>
    </row>
    <row r="128" customFormat="false" ht="15" hidden="false" customHeight="false" outlineLevel="0" collapsed="false">
      <c r="A128" s="4" t="s">
        <v>69</v>
      </c>
      <c r="B128" s="4" t="s">
        <v>18</v>
      </c>
      <c r="C128" s="4" t="n">
        <v>250</v>
      </c>
      <c r="D128" s="4" t="s">
        <v>16</v>
      </c>
      <c r="E128" s="4" t="s">
        <v>21</v>
      </c>
      <c r="F128" s="4" t="s">
        <v>117</v>
      </c>
      <c r="G128" s="4" t="s">
        <v>15</v>
      </c>
      <c r="H128" s="16" t="n">
        <f aca="false">SUMIFS(Rótulos!$G$5:$G$212,Rótulos!$A$5:$A$212,$A128,Rótulos!$B$5:$B$212,$B128,Rótulos!$C$5:$C$212,$C128,Rótulos!$H$5:$H$212,$D128,Rótulos!$I$5:$I$212,$E128,Rótulos!$F$5:$F$212,"B2C")</f>
        <v>16</v>
      </c>
      <c r="I128" s="16" t="n">
        <f aca="false">SUMIFS(Rótulos!$G$5:$G$212,Rótulos!$A$5:$A$212,$A128,Rótulos!$B$5:$B$212,$B128,Rótulos!$C$5:$C$212,$C128,Rótulos!$H$5:$H$212,$D128,Rótulos!$I$5:$I$212,$E128,Rótulos!$F$5:$F$212,"B2B")</f>
        <v>0</v>
      </c>
      <c r="J128" s="17" t="n">
        <f aca="false">H128+I128</f>
        <v>16</v>
      </c>
    </row>
    <row r="129" customFormat="false" ht="15" hidden="false" customHeight="false" outlineLevel="0" collapsed="false">
      <c r="A129" s="4" t="s">
        <v>69</v>
      </c>
      <c r="B129" s="4" t="s">
        <v>18</v>
      </c>
      <c r="C129" s="4" t="n">
        <v>250</v>
      </c>
      <c r="D129" s="4" t="s">
        <v>24</v>
      </c>
      <c r="E129" s="4" t="s">
        <v>25</v>
      </c>
      <c r="F129" s="4" t="s">
        <v>23</v>
      </c>
      <c r="G129" s="4" t="s">
        <v>15</v>
      </c>
      <c r="H129" s="16" t="n">
        <f aca="false">SUMIFS(Rótulos!$G$5:$G$212,Rótulos!$A$5:$A$212,$A129,Rótulos!$B$5:$B$212,$B129,Rótulos!$C$5:$C$212,$C129,Rótulos!$H$5:$H$212,$D129,Rótulos!$I$5:$I$212,$E129,Rótulos!$F$5:$F$212,"B2C")</f>
        <v>2</v>
      </c>
      <c r="I129" s="16" t="n">
        <f aca="false">SUMIFS(Rótulos!$G$5:$G$212,Rótulos!$A$5:$A$212,$A129,Rótulos!$B$5:$B$212,$B129,Rótulos!$C$5:$C$212,$C129,Rótulos!$H$5:$H$212,$D129,Rótulos!$I$5:$I$212,$E129,Rótulos!$F$5:$F$212,"B2B")</f>
        <v>0</v>
      </c>
      <c r="J129" s="17" t="n">
        <f aca="false">H129+I129</f>
        <v>2</v>
      </c>
    </row>
    <row r="130" customFormat="false" ht="15" hidden="false" customHeight="false" outlineLevel="0" collapsed="false">
      <c r="A130" s="4" t="s">
        <v>70</v>
      </c>
      <c r="B130" s="4" t="s">
        <v>12</v>
      </c>
      <c r="C130" s="4" t="n">
        <v>15</v>
      </c>
      <c r="D130" s="4" t="s">
        <v>16</v>
      </c>
      <c r="E130" s="4" t="s">
        <v>17</v>
      </c>
      <c r="F130" s="4" t="s">
        <v>14</v>
      </c>
      <c r="G130" s="4" t="s">
        <v>15</v>
      </c>
      <c r="H130" s="16" t="n">
        <f aca="false">SUMIFS(Rótulos!$G$5:$G$212,Rótulos!$A$5:$A$212,$A130,Rótulos!$B$5:$B$212,$B130,Rótulos!$C$5:$C$212,$C130,Rótulos!$H$5:$H$212,$D130,Rótulos!$I$5:$I$212,$E130,Rótulos!$F$5:$F$212,"B2C")</f>
        <v>200</v>
      </c>
      <c r="I130" s="16" t="n">
        <f aca="false">SUMIFS(Rótulos!$G$5:$G$212,Rótulos!$A$5:$A$212,$A130,Rótulos!$B$5:$B$212,$B130,Rótulos!$C$5:$C$212,$C130,Rótulos!$H$5:$H$212,$D130,Rótulos!$I$5:$I$212,$E130,Rótulos!$F$5:$F$212,"B2B")</f>
        <v>0</v>
      </c>
      <c r="J130" s="17" t="n">
        <f aca="false">H130+I130</f>
        <v>200</v>
      </c>
    </row>
    <row r="131" customFormat="false" ht="15" hidden="false" customHeight="false" outlineLevel="0" collapsed="false">
      <c r="A131" s="4" t="s">
        <v>70</v>
      </c>
      <c r="B131" s="4" t="s">
        <v>18</v>
      </c>
      <c r="C131" s="4" t="n">
        <v>250</v>
      </c>
      <c r="D131" s="4" t="s">
        <v>16</v>
      </c>
      <c r="E131" s="4" t="s">
        <v>21</v>
      </c>
      <c r="F131" s="4" t="s">
        <v>117</v>
      </c>
      <c r="G131" s="4" t="s">
        <v>15</v>
      </c>
      <c r="H131" s="16" t="n">
        <f aca="false">SUMIFS(Rótulos!$G$5:$G$212,Rótulos!$A$5:$A$212,$A131,Rótulos!$B$5:$B$212,$B131,Rótulos!$C$5:$C$212,$C131,Rótulos!$H$5:$H$212,$D131,Rótulos!$I$5:$I$212,$E131,Rótulos!$F$5:$F$212,"B2C")</f>
        <v>36</v>
      </c>
      <c r="I131" s="16" t="n">
        <f aca="false">SUMIFS(Rótulos!$G$5:$G$212,Rótulos!$A$5:$A$212,$A131,Rótulos!$B$5:$B$212,$B131,Rótulos!$C$5:$C$212,$C131,Rótulos!$H$5:$H$212,$D131,Rótulos!$I$5:$I$212,$E131,Rótulos!$F$5:$F$212,"B2B")</f>
        <v>0</v>
      </c>
      <c r="J131" s="17" t="n">
        <f aca="false">H131+I131</f>
        <v>36</v>
      </c>
    </row>
    <row r="132" customFormat="false" ht="15" hidden="false" customHeight="false" outlineLevel="0" collapsed="false">
      <c r="A132" s="4" t="s">
        <v>70</v>
      </c>
      <c r="B132" s="4" t="s">
        <v>18</v>
      </c>
      <c r="C132" s="4" t="n">
        <v>250</v>
      </c>
      <c r="D132" s="4" t="s">
        <v>24</v>
      </c>
      <c r="E132" s="4" t="s">
        <v>25</v>
      </c>
      <c r="F132" s="4" t="s">
        <v>23</v>
      </c>
      <c r="G132" s="4" t="s">
        <v>15</v>
      </c>
      <c r="H132" s="16" t="n">
        <f aca="false">SUMIFS(Rótulos!$G$5:$G$212,Rótulos!$A$5:$A$212,$A132,Rótulos!$B$5:$B$212,$B132,Rótulos!$C$5:$C$212,$C132,Rótulos!$H$5:$H$212,$D132,Rótulos!$I$5:$I$212,$E132,Rótulos!$F$5:$F$212,"B2C")</f>
        <v>12</v>
      </c>
      <c r="I132" s="16" t="n">
        <f aca="false">SUMIFS(Rótulos!$G$5:$G$212,Rótulos!$A$5:$A$212,$A132,Rótulos!$B$5:$B$212,$B132,Rótulos!$C$5:$C$212,$C132,Rótulos!$H$5:$H$212,$D132,Rótulos!$I$5:$I$212,$E132,Rótulos!$F$5:$F$212,"B2B")</f>
        <v>0</v>
      </c>
      <c r="J132" s="17" t="n">
        <f aca="false">H132+I132</f>
        <v>12</v>
      </c>
    </row>
    <row r="133" customFormat="false" ht="15" hidden="false" customHeight="false" outlineLevel="0" collapsed="false">
      <c r="A133" s="4" t="s">
        <v>71</v>
      </c>
      <c r="B133" s="4" t="s">
        <v>29</v>
      </c>
      <c r="C133" s="4" t="n">
        <v>400</v>
      </c>
      <c r="D133" s="4" t="s">
        <v>24</v>
      </c>
      <c r="E133" s="4" t="s">
        <v>31</v>
      </c>
      <c r="F133" s="4" t="s">
        <v>29</v>
      </c>
      <c r="G133" s="4" t="s">
        <v>30</v>
      </c>
      <c r="H133" s="16" t="n">
        <f aca="false">SUMIFS(Rótulos!$G$5:$G$212,Rótulos!$A$5:$A$212,$A133,Rótulos!$B$5:$B$212,$B133,Rótulos!$C$5:$C$212,$C133,Rótulos!$H$5:$H$212,$D133,Rótulos!$I$5:$I$212,$E133,Rótulos!$F$5:$F$212,"B2C")</f>
        <v>0</v>
      </c>
      <c r="I133" s="16" t="n">
        <f aca="false">SUMIFS(Rótulos!$G$5:$G$212,Rótulos!$A$5:$A$212,$A133,Rótulos!$B$5:$B$212,$B133,Rótulos!$C$5:$C$212,$C133,Rótulos!$H$5:$H$212,$D133,Rótulos!$I$5:$I$212,$E133,Rótulos!$F$5:$F$212,"B2B")</f>
        <v>9</v>
      </c>
      <c r="J133" s="17" t="n">
        <f aca="false">H133+I133</f>
        <v>9</v>
      </c>
    </row>
    <row r="134" customFormat="false" ht="15" hidden="false" customHeight="false" outlineLevel="0" collapsed="false">
      <c r="A134" s="4" t="s">
        <v>72</v>
      </c>
      <c r="B134" s="4" t="s">
        <v>29</v>
      </c>
      <c r="C134" s="4" t="n">
        <v>400</v>
      </c>
      <c r="D134" s="4" t="s">
        <v>24</v>
      </c>
      <c r="E134" s="4" t="s">
        <v>31</v>
      </c>
      <c r="F134" s="4" t="s">
        <v>29</v>
      </c>
      <c r="G134" s="4" t="s">
        <v>30</v>
      </c>
      <c r="H134" s="16" t="n">
        <f aca="false">SUMIFS(Rótulos!$G$5:$G$212,Rótulos!$A$5:$A$212,$A134,Rótulos!$B$5:$B$212,$B134,Rótulos!$C$5:$C$212,$C134,Rótulos!$H$5:$H$212,$D134,Rótulos!$I$5:$I$212,$E134,Rótulos!$F$5:$F$212,"B2C")</f>
        <v>0</v>
      </c>
      <c r="I134" s="16" t="n">
        <f aca="false">SUMIFS(Rótulos!$G$5:$G$212,Rótulos!$A$5:$A$212,$A134,Rótulos!$B$5:$B$212,$B134,Rótulos!$C$5:$C$212,$C134,Rótulos!$H$5:$H$212,$D134,Rótulos!$I$5:$I$212,$E134,Rótulos!$F$5:$F$212,"B2B")</f>
        <v>26</v>
      </c>
      <c r="J134" s="17" t="n">
        <f aca="false">H134+I134</f>
        <v>26</v>
      </c>
    </row>
    <row r="135" customFormat="false" ht="15" hidden="false" customHeight="false" outlineLevel="0" collapsed="false">
      <c r="A135" s="4" t="s">
        <v>72</v>
      </c>
      <c r="B135" s="4" t="s">
        <v>33</v>
      </c>
      <c r="C135" s="4" t="n">
        <v>100</v>
      </c>
      <c r="D135" s="4" t="s">
        <v>24</v>
      </c>
      <c r="E135" s="4" t="s">
        <v>34</v>
      </c>
      <c r="F135" s="4" t="s">
        <v>33</v>
      </c>
      <c r="G135" s="4" t="s">
        <v>30</v>
      </c>
      <c r="H135" s="16" t="n">
        <f aca="false">SUMIFS(Rótulos!$G$5:$G$212,Rótulos!$A$5:$A$212,$A135,Rótulos!$B$5:$B$212,$B135,Rótulos!$C$5:$C$212,$C135,Rótulos!$H$5:$H$212,$D135,Rótulos!$I$5:$I$212,$E135,Rótulos!$F$5:$F$212,"B2C")</f>
        <v>0</v>
      </c>
      <c r="I135" s="16" t="n">
        <f aca="false">SUMIFS(Rótulos!$G$5:$G$212,Rótulos!$A$5:$A$212,$A135,Rótulos!$B$5:$B$212,$B135,Rótulos!$C$5:$C$212,$C135,Rótulos!$H$5:$H$212,$D135,Rótulos!$I$5:$I$212,$E135,Rótulos!$F$5:$F$212,"B2B")</f>
        <v>3</v>
      </c>
      <c r="J135" s="17" t="n">
        <f aca="false">H135+I135</f>
        <v>3</v>
      </c>
    </row>
    <row r="136" customFormat="false" ht="15" hidden="false" customHeight="false" outlineLevel="0" collapsed="false">
      <c r="A136" s="4" t="s">
        <v>72</v>
      </c>
      <c r="B136" s="4" t="s">
        <v>33</v>
      </c>
      <c r="C136" s="4" t="n">
        <v>500</v>
      </c>
      <c r="D136" s="4" t="s">
        <v>24</v>
      </c>
      <c r="E136" s="4" t="s">
        <v>31</v>
      </c>
      <c r="F136" s="4" t="s">
        <v>33</v>
      </c>
      <c r="G136" s="4" t="s">
        <v>30</v>
      </c>
      <c r="H136" s="16" t="n">
        <f aca="false">SUMIFS(Rótulos!$G$5:$G$212,Rótulos!$A$5:$A$212,$A136,Rótulos!$B$5:$B$212,$B136,Rótulos!$C$5:$C$212,$C136,Rótulos!$H$5:$H$212,$D136,Rótulos!$I$5:$I$212,$E136,Rótulos!$F$5:$F$212,"B2C")</f>
        <v>0</v>
      </c>
      <c r="I136" s="16" t="n">
        <f aca="false">SUMIFS(Rótulos!$G$5:$G$212,Rótulos!$A$5:$A$212,$A136,Rótulos!$B$5:$B$212,$B136,Rótulos!$C$5:$C$212,$C136,Rótulos!$H$5:$H$212,$D136,Rótulos!$I$5:$I$212,$E136,Rótulos!$F$5:$F$212,"B2B")</f>
        <v>23</v>
      </c>
      <c r="J136" s="17" t="n">
        <f aca="false">H136+I136</f>
        <v>23</v>
      </c>
    </row>
    <row r="137" customFormat="false" ht="15" hidden="false" customHeight="false" outlineLevel="0" collapsed="false">
      <c r="A137" s="4" t="s">
        <v>72</v>
      </c>
      <c r="B137" s="4" t="s">
        <v>33</v>
      </c>
      <c r="C137" s="4" t="n">
        <v>1000</v>
      </c>
      <c r="D137" s="4" t="s">
        <v>24</v>
      </c>
      <c r="E137" s="4" t="s">
        <v>32</v>
      </c>
      <c r="F137" s="4" t="s">
        <v>33</v>
      </c>
      <c r="G137" s="4" t="s">
        <v>30</v>
      </c>
      <c r="H137" s="16" t="n">
        <f aca="false">SUMIFS(Rótulos!$G$5:$G$212,Rótulos!$A$5:$A$212,$A137,Rótulos!$B$5:$B$212,$B137,Rótulos!$C$5:$C$212,$C137,Rótulos!$H$5:$H$212,$D137,Rótulos!$I$5:$I$212,$E137,Rótulos!$F$5:$F$212,"B2C")</f>
        <v>0</v>
      </c>
      <c r="I137" s="16" t="n">
        <f aca="false">SUMIFS(Rótulos!$G$5:$G$212,Rótulos!$A$5:$A$212,$A137,Rótulos!$B$5:$B$212,$B137,Rótulos!$C$5:$C$212,$C137,Rótulos!$H$5:$H$212,$D137,Rótulos!$I$5:$I$212,$E137,Rótulos!$F$5:$F$212,"B2B")</f>
        <v>3</v>
      </c>
      <c r="J137" s="17" t="n">
        <f aca="false">H137+I137</f>
        <v>3</v>
      </c>
    </row>
    <row r="138" customFormat="false" ht="15" hidden="false" customHeight="false" outlineLevel="0" collapsed="false">
      <c r="A138" s="4" t="s">
        <v>72</v>
      </c>
      <c r="B138" s="4" t="s">
        <v>18</v>
      </c>
      <c r="C138" s="4" t="n">
        <v>250</v>
      </c>
      <c r="D138" s="4" t="s">
        <v>24</v>
      </c>
      <c r="E138" s="4" t="s">
        <v>25</v>
      </c>
      <c r="F138" s="4" t="s">
        <v>18</v>
      </c>
      <c r="G138" s="4" t="s">
        <v>30</v>
      </c>
      <c r="H138" s="16" t="n">
        <f aca="false">SUMIFS(Rótulos!$G$5:$G$212,Rótulos!$A$5:$A$212,$A138,Rótulos!$B$5:$B$212,$B138,Rótulos!$C$5:$C$212,$C138,Rótulos!$H$5:$H$212,$D138,Rótulos!$I$5:$I$212,$E138,Rótulos!$F$5:$F$212,"B2C")</f>
        <v>0</v>
      </c>
      <c r="I138" s="16" t="n">
        <f aca="false">SUMIFS(Rótulos!$G$5:$G$212,Rótulos!$A$5:$A$212,$A138,Rótulos!$B$5:$B$212,$B138,Rótulos!$C$5:$C$212,$C138,Rótulos!$H$5:$H$212,$D138,Rótulos!$I$5:$I$212,$E138,Rótulos!$F$5:$F$212,"B2B")</f>
        <v>6</v>
      </c>
      <c r="J138" s="17" t="n">
        <f aca="false">H138+I138</f>
        <v>6</v>
      </c>
    </row>
    <row r="139" customFormat="false" ht="15" hidden="false" customHeight="false" outlineLevel="0" collapsed="false">
      <c r="A139" s="4" t="s">
        <v>73</v>
      </c>
      <c r="B139" s="4" t="s">
        <v>12</v>
      </c>
      <c r="C139" s="4" t="n">
        <v>15</v>
      </c>
      <c r="D139" s="4" t="s">
        <v>16</v>
      </c>
      <c r="E139" s="4" t="s">
        <v>17</v>
      </c>
      <c r="F139" s="4" t="s">
        <v>14</v>
      </c>
      <c r="G139" s="4" t="s">
        <v>15</v>
      </c>
      <c r="H139" s="16" t="n">
        <f aca="false">SUMIFS(Rótulos!$G$5:$G$212,Rótulos!$A$5:$A$212,$A139,Rótulos!$B$5:$B$212,$B139,Rótulos!$C$5:$C$212,$C139,Rótulos!$H$5:$H$212,$D139,Rótulos!$I$5:$I$212,$E139,Rótulos!$F$5:$F$212,"B2C")</f>
        <v>100</v>
      </c>
      <c r="I139" s="16" t="n">
        <f aca="false">SUMIFS(Rótulos!$G$5:$G$212,Rótulos!$A$5:$A$212,$A139,Rótulos!$B$5:$B$212,$B139,Rótulos!$C$5:$C$212,$C139,Rótulos!$H$5:$H$212,$D139,Rótulos!$I$5:$I$212,$E139,Rótulos!$F$5:$F$212,"B2B")</f>
        <v>0</v>
      </c>
      <c r="J139" s="17" t="n">
        <f aca="false">H139+I139</f>
        <v>100</v>
      </c>
    </row>
    <row r="140" customFormat="false" ht="15" hidden="false" customHeight="false" outlineLevel="0" collapsed="false">
      <c r="A140" s="4" t="s">
        <v>73</v>
      </c>
      <c r="B140" s="4" t="s">
        <v>12</v>
      </c>
      <c r="C140" s="4" t="n">
        <v>500</v>
      </c>
      <c r="D140" s="4" t="s">
        <v>24</v>
      </c>
      <c r="E140" s="4" t="s">
        <v>31</v>
      </c>
      <c r="F140" s="4" t="s">
        <v>35</v>
      </c>
      <c r="G140" s="4" t="s">
        <v>15</v>
      </c>
      <c r="H140" s="16" t="n">
        <f aca="false">SUMIFS(Rótulos!$G$5:$G$212,Rótulos!$A$5:$A$212,$A140,Rótulos!$B$5:$B$212,$B140,Rótulos!$C$5:$C$212,$C140,Rótulos!$H$5:$H$212,$D140,Rótulos!$I$5:$I$212,$E140,Rótulos!$F$5:$F$212,"B2C")</f>
        <v>10</v>
      </c>
      <c r="I140" s="16" t="n">
        <f aca="false">SUMIFS(Rótulos!$G$5:$G$212,Rótulos!$A$5:$A$212,$A140,Rótulos!$B$5:$B$212,$B140,Rótulos!$C$5:$C$212,$C140,Rótulos!$H$5:$H$212,$D140,Rótulos!$I$5:$I$212,$E140,Rótulos!$F$5:$F$212,"B2B")</f>
        <v>0</v>
      </c>
      <c r="J140" s="17" t="n">
        <f aca="false">H140+I140</f>
        <v>10</v>
      </c>
    </row>
    <row r="141" customFormat="false" ht="15" hidden="false" customHeight="false" outlineLevel="0" collapsed="false">
      <c r="A141" s="4" t="s">
        <v>73</v>
      </c>
      <c r="B141" s="4" t="s">
        <v>29</v>
      </c>
      <c r="C141" s="4" t="n">
        <v>15</v>
      </c>
      <c r="D141" s="4" t="s">
        <v>16</v>
      </c>
      <c r="E141" s="4" t="s">
        <v>17</v>
      </c>
      <c r="F141" s="4" t="s">
        <v>36</v>
      </c>
      <c r="G141" s="4" t="s">
        <v>15</v>
      </c>
      <c r="H141" s="16" t="n">
        <f aca="false">SUMIFS(Rótulos!$G$5:$G$212,Rótulos!$A$5:$A$212,$A141,Rótulos!$B$5:$B$212,$B141,Rótulos!$C$5:$C$212,$C141,Rótulos!$H$5:$H$212,$D141,Rótulos!$I$5:$I$212,$E141,Rótulos!$F$5:$F$212,"B2C")</f>
        <v>100</v>
      </c>
      <c r="I141" s="16" t="n">
        <f aca="false">SUMIFS(Rótulos!$G$5:$G$212,Rótulos!$A$5:$A$212,$A141,Rótulos!$B$5:$B$212,$B141,Rótulos!$C$5:$C$212,$C141,Rótulos!$H$5:$H$212,$D141,Rótulos!$I$5:$I$212,$E141,Rótulos!$F$5:$F$212,"B2B")</f>
        <v>0</v>
      </c>
      <c r="J141" s="17" t="n">
        <f aca="false">H141+I141</f>
        <v>100</v>
      </c>
    </row>
    <row r="142" customFormat="false" ht="15" hidden="false" customHeight="false" outlineLevel="0" collapsed="false">
      <c r="A142" s="4" t="s">
        <v>73</v>
      </c>
      <c r="B142" s="4" t="s">
        <v>29</v>
      </c>
      <c r="C142" s="4" t="n">
        <v>100</v>
      </c>
      <c r="D142" s="4" t="s">
        <v>24</v>
      </c>
      <c r="E142" s="4" t="s">
        <v>34</v>
      </c>
      <c r="F142" s="4" t="s">
        <v>36</v>
      </c>
      <c r="G142" s="4" t="s">
        <v>15</v>
      </c>
      <c r="H142" s="16" t="n">
        <f aca="false">SUMIFS(Rótulos!$G$5:$G$212,Rótulos!$A$5:$A$212,$A142,Rótulos!$B$5:$B$212,$B142,Rótulos!$C$5:$C$212,$C142,Rótulos!$H$5:$H$212,$D142,Rótulos!$I$5:$I$212,$E142,Rótulos!$F$5:$F$212,"B2C")</f>
        <v>30</v>
      </c>
      <c r="I142" s="16" t="n">
        <f aca="false">SUMIFS(Rótulos!$G$5:$G$212,Rótulos!$A$5:$A$212,$A142,Rótulos!$B$5:$B$212,$B142,Rótulos!$C$5:$C$212,$C142,Rótulos!$H$5:$H$212,$D142,Rótulos!$I$5:$I$212,$E142,Rótulos!$F$5:$F$212,"B2B")</f>
        <v>0</v>
      </c>
      <c r="J142" s="17" t="n">
        <f aca="false">H142+I142</f>
        <v>30</v>
      </c>
    </row>
    <row r="143" customFormat="false" ht="15" hidden="false" customHeight="false" outlineLevel="0" collapsed="false">
      <c r="A143" s="4" t="s">
        <v>73</v>
      </c>
      <c r="B143" s="4" t="s">
        <v>18</v>
      </c>
      <c r="C143" s="4" t="n">
        <v>250</v>
      </c>
      <c r="D143" s="4" t="s">
        <v>16</v>
      </c>
      <c r="E143" s="4" t="s">
        <v>21</v>
      </c>
      <c r="F143" s="4" t="s">
        <v>117</v>
      </c>
      <c r="G143" s="4" t="s">
        <v>15</v>
      </c>
      <c r="H143" s="16" t="n">
        <f aca="false">SUMIFS(Rótulos!$G$5:$G$212,Rótulos!$A$5:$A$212,$A143,Rótulos!$B$5:$B$212,$B143,Rótulos!$C$5:$C$212,$C143,Rótulos!$H$5:$H$212,$D143,Rótulos!$I$5:$I$212,$E143,Rótulos!$F$5:$F$212,"B2C")</f>
        <v>16</v>
      </c>
      <c r="I143" s="16" t="n">
        <f aca="false">SUMIFS(Rótulos!$G$5:$G$212,Rótulos!$A$5:$A$212,$A143,Rótulos!$B$5:$B$212,$B143,Rótulos!$C$5:$C$212,$C143,Rótulos!$H$5:$H$212,$D143,Rótulos!$I$5:$I$212,$E143,Rótulos!$F$5:$F$212,"B2B")</f>
        <v>0</v>
      </c>
      <c r="J143" s="17" t="n">
        <f aca="false">H143+I143</f>
        <v>16</v>
      </c>
    </row>
    <row r="144" customFormat="false" ht="15" hidden="false" customHeight="false" outlineLevel="0" collapsed="false">
      <c r="A144" s="4" t="s">
        <v>73</v>
      </c>
      <c r="B144" s="4" t="s">
        <v>18</v>
      </c>
      <c r="C144" s="4" t="n">
        <v>250</v>
      </c>
      <c r="D144" s="4" t="s">
        <v>24</v>
      </c>
      <c r="E144" s="4" t="s">
        <v>25</v>
      </c>
      <c r="F144" s="4" t="s">
        <v>23</v>
      </c>
      <c r="G144" s="4" t="s">
        <v>15</v>
      </c>
      <c r="H144" s="16" t="n">
        <f aca="false">SUMIFS(Rótulos!$G$5:$G$212,Rótulos!$A$5:$A$212,$A144,Rótulos!$B$5:$B$212,$B144,Rótulos!$C$5:$C$212,$C144,Rótulos!$H$5:$H$212,$D144,Rótulos!$I$5:$I$212,$E144,Rótulos!$F$5:$F$212,"B2C")</f>
        <v>2</v>
      </c>
      <c r="I144" s="16" t="n">
        <f aca="false">SUMIFS(Rótulos!$G$5:$G$212,Rótulos!$A$5:$A$212,$A144,Rótulos!$B$5:$B$212,$B144,Rótulos!$C$5:$C$212,$C144,Rótulos!$H$5:$H$212,$D144,Rótulos!$I$5:$I$212,$E144,Rótulos!$F$5:$F$212,"B2B")</f>
        <v>0</v>
      </c>
      <c r="J144" s="17" t="n">
        <f aca="false">H144+I144</f>
        <v>2</v>
      </c>
    </row>
    <row r="145" customFormat="false" ht="15" hidden="false" customHeight="false" outlineLevel="0" collapsed="false">
      <c r="A145" s="4" t="s">
        <v>74</v>
      </c>
      <c r="B145" s="4" t="s">
        <v>12</v>
      </c>
      <c r="C145" s="4" t="n">
        <v>150</v>
      </c>
      <c r="D145" s="4" t="s">
        <v>24</v>
      </c>
      <c r="E145" s="4" t="s">
        <v>25</v>
      </c>
      <c r="F145" s="4" t="s">
        <v>12</v>
      </c>
      <c r="G145" s="4" t="s">
        <v>30</v>
      </c>
      <c r="H145" s="16" t="n">
        <f aca="false">SUMIFS(Rótulos!$G$5:$G$212,Rótulos!$A$5:$A$212,$A145,Rótulos!$B$5:$B$212,$B145,Rótulos!$C$5:$C$212,$C145,Rótulos!$H$5:$H$212,$D145,Rótulos!$I$5:$I$212,$E145,Rótulos!$F$5:$F$212,"B2C")</f>
        <v>0</v>
      </c>
      <c r="I145" s="16" t="n">
        <f aca="false">SUMIFS(Rótulos!$G$5:$G$212,Rótulos!$A$5:$A$212,$A145,Rótulos!$B$5:$B$212,$B145,Rótulos!$C$5:$C$212,$C145,Rótulos!$H$5:$H$212,$D145,Rótulos!$I$5:$I$212,$E145,Rótulos!$F$5:$F$212,"B2B")</f>
        <v>9</v>
      </c>
      <c r="J145" s="17" t="n">
        <f aca="false">H145+I145</f>
        <v>9</v>
      </c>
    </row>
    <row r="146" customFormat="false" ht="15" hidden="false" customHeight="false" outlineLevel="0" collapsed="false">
      <c r="A146" s="4" t="s">
        <v>74</v>
      </c>
      <c r="B146" s="4" t="s">
        <v>12</v>
      </c>
      <c r="C146" s="4" t="n">
        <v>250</v>
      </c>
      <c r="D146" s="4" t="s">
        <v>24</v>
      </c>
      <c r="E146" s="4" t="s">
        <v>25</v>
      </c>
      <c r="F146" s="4" t="s">
        <v>12</v>
      </c>
      <c r="G146" s="4" t="s">
        <v>30</v>
      </c>
      <c r="H146" s="16" t="n">
        <f aca="false">SUMIFS(Rótulos!$G$5:$G$212,Rótulos!$A$5:$A$212,$A146,Rótulos!$B$5:$B$212,$B146,Rótulos!$C$5:$C$212,$C146,Rótulos!$H$5:$H$212,$D146,Rótulos!$I$5:$I$212,$E146,Rótulos!$F$5:$F$212,"B2C")</f>
        <v>0</v>
      </c>
      <c r="I146" s="16" t="n">
        <f aca="false">SUMIFS(Rótulos!$G$5:$G$212,Rótulos!$A$5:$A$212,$A146,Rótulos!$B$5:$B$212,$B146,Rótulos!$C$5:$C$212,$C146,Rótulos!$H$5:$H$212,$D146,Rótulos!$I$5:$I$212,$E146,Rótulos!$F$5:$F$212,"B2B")</f>
        <v>99</v>
      </c>
      <c r="J146" s="17" t="n">
        <f aca="false">H146+I146</f>
        <v>99</v>
      </c>
    </row>
    <row r="147" customFormat="false" ht="15" hidden="false" customHeight="false" outlineLevel="0" collapsed="false">
      <c r="A147" s="4" t="s">
        <v>74</v>
      </c>
      <c r="B147" s="4" t="s">
        <v>29</v>
      </c>
      <c r="C147" s="4" t="n">
        <v>160</v>
      </c>
      <c r="D147" s="4" t="s">
        <v>24</v>
      </c>
      <c r="E147" s="4" t="s">
        <v>110</v>
      </c>
      <c r="F147" s="4" t="s">
        <v>29</v>
      </c>
      <c r="G147" s="4" t="s">
        <v>30</v>
      </c>
      <c r="H147" s="16" t="n">
        <f aca="false">SUMIFS(Rótulos!$G$5:$G$212,Rótulos!$A$5:$A$212,$A147,Rótulos!$B$5:$B$212,$B147,Rótulos!$C$5:$C$212,$C147,Rótulos!$H$5:$H$212,$D147,Rótulos!$I$5:$I$212,"=",Rótulos!$F$5:$F$212,"B2C")</f>
        <v>0</v>
      </c>
      <c r="I147" s="16" t="n">
        <f aca="false">SUMIFS(Rótulos!$G$5:$G$212,Rótulos!$A$5:$A$212,$A147,Rótulos!$B$5:$B$212,$B147,Rótulos!$C$5:$C$212,$C147,Rótulos!$H$5:$H$212,$D147,Rótulos!$I$5:$I$212,"=",Rótulos!$F$5:$F$212,"B2B")</f>
        <v>9</v>
      </c>
      <c r="J147" s="17" t="n">
        <f aca="false">H147+I147</f>
        <v>9</v>
      </c>
    </row>
    <row r="148" customFormat="false" ht="15" hidden="false" customHeight="false" outlineLevel="0" collapsed="false">
      <c r="A148" s="4" t="s">
        <v>74</v>
      </c>
      <c r="B148" s="4" t="s">
        <v>29</v>
      </c>
      <c r="C148" s="4" t="n">
        <v>400</v>
      </c>
      <c r="D148" s="4" t="s">
        <v>24</v>
      </c>
      <c r="E148" s="4" t="s">
        <v>31</v>
      </c>
      <c r="F148" s="4" t="s">
        <v>29</v>
      </c>
      <c r="G148" s="4" t="s">
        <v>30</v>
      </c>
      <c r="H148" s="16" t="n">
        <f aca="false">SUMIFS(Rótulos!$G$5:$G$212,Rótulos!$A$5:$A$212,$A148,Rótulos!$B$5:$B$212,$B148,Rótulos!$C$5:$C$212,$C148,Rótulos!$H$5:$H$212,$D148,Rótulos!$I$5:$I$212,$E148,Rótulos!$F$5:$F$212,"B2C")</f>
        <v>0</v>
      </c>
      <c r="I148" s="16" t="n">
        <f aca="false">SUMIFS(Rótulos!$G$5:$G$212,Rótulos!$A$5:$A$212,$A148,Rótulos!$B$5:$B$212,$B148,Rótulos!$C$5:$C$212,$C148,Rótulos!$H$5:$H$212,$D148,Rótulos!$I$5:$I$212,$E148,Rótulos!$F$5:$F$212,"B2B")</f>
        <v>18</v>
      </c>
      <c r="J148" s="17" t="n">
        <f aca="false">H148+I148</f>
        <v>18</v>
      </c>
    </row>
    <row r="149" customFormat="false" ht="15" hidden="false" customHeight="false" outlineLevel="0" collapsed="false">
      <c r="A149" s="4" t="s">
        <v>74</v>
      </c>
      <c r="B149" s="4" t="s">
        <v>33</v>
      </c>
      <c r="C149" s="4" t="n">
        <v>100</v>
      </c>
      <c r="D149" s="4" t="s">
        <v>24</v>
      </c>
      <c r="E149" s="4" t="s">
        <v>34</v>
      </c>
      <c r="F149" s="4" t="s">
        <v>33</v>
      </c>
      <c r="G149" s="4" t="s">
        <v>30</v>
      </c>
      <c r="H149" s="16" t="n">
        <f aca="false">SUMIFS(Rótulos!$G$5:$G$212,Rótulos!$A$5:$A$212,$A149,Rótulos!$B$5:$B$212,$B149,Rótulos!$C$5:$C$212,$C149,Rótulos!$H$5:$H$212,$D149,Rótulos!$I$5:$I$212,$E149,Rótulos!$F$5:$F$212,"B2C")</f>
        <v>0</v>
      </c>
      <c r="I149" s="16" t="n">
        <f aca="false">SUMIFS(Rótulos!$G$5:$G$212,Rótulos!$A$5:$A$212,$A149,Rótulos!$B$5:$B$212,$B149,Rótulos!$C$5:$C$212,$C149,Rótulos!$H$5:$H$212,$D149,Rótulos!$I$5:$I$212,$E149,Rótulos!$F$5:$F$212,"B2B")</f>
        <v>14</v>
      </c>
      <c r="J149" s="17" t="n">
        <f aca="false">H149+I149</f>
        <v>14</v>
      </c>
    </row>
    <row r="150" customFormat="false" ht="15" hidden="false" customHeight="false" outlineLevel="0" collapsed="false">
      <c r="A150" s="4" t="s">
        <v>74</v>
      </c>
      <c r="B150" s="4" t="s">
        <v>33</v>
      </c>
      <c r="C150" s="4" t="n">
        <v>500</v>
      </c>
      <c r="D150" s="4" t="s">
        <v>24</v>
      </c>
      <c r="E150" s="4" t="s">
        <v>31</v>
      </c>
      <c r="F150" s="4" t="s">
        <v>33</v>
      </c>
      <c r="G150" s="4" t="s">
        <v>30</v>
      </c>
      <c r="H150" s="16" t="n">
        <f aca="false">SUMIFS(Rótulos!$G$5:$G$212,Rótulos!$A$5:$A$212,$A150,Rótulos!$B$5:$B$212,$B150,Rótulos!$C$5:$C$212,$C150,Rótulos!$H$5:$H$212,$D150,Rótulos!$I$5:$I$212,$E150,Rótulos!$F$5:$F$212,"B2C")</f>
        <v>0</v>
      </c>
      <c r="I150" s="16" t="n">
        <f aca="false">SUMIFS(Rótulos!$G$5:$G$212,Rótulos!$A$5:$A$212,$A150,Rótulos!$B$5:$B$212,$B150,Rótulos!$C$5:$C$212,$C150,Rótulos!$H$5:$H$212,$D150,Rótulos!$I$5:$I$212,$E150,Rótulos!$F$5:$F$212,"B2B")</f>
        <v>9</v>
      </c>
      <c r="J150" s="17" t="n">
        <f aca="false">H150+I150</f>
        <v>9</v>
      </c>
    </row>
    <row r="151" customFormat="false" ht="15" hidden="false" customHeight="false" outlineLevel="0" collapsed="false">
      <c r="A151" s="4" t="s">
        <v>75</v>
      </c>
      <c r="B151" s="4" t="s">
        <v>18</v>
      </c>
      <c r="C151" s="4" t="n">
        <v>100</v>
      </c>
      <c r="D151" s="4" t="s">
        <v>24</v>
      </c>
      <c r="E151" s="4" t="s">
        <v>34</v>
      </c>
      <c r="F151" s="4" t="s">
        <v>76</v>
      </c>
      <c r="G151" s="4" t="s">
        <v>15</v>
      </c>
      <c r="H151" s="16" t="n">
        <f aca="false">SUMIFS(Rótulos!$G$5:$G$212,Rótulos!$A$5:$A$212,$A151,Rótulos!$B$5:$B$212,$B151,Rótulos!$C$5:$C$212,$C151,Rótulos!$H$5:$H$212,$D151,Rótulos!$I$5:$I$212,$E151,Rótulos!$F$5:$F$212,"B2C")</f>
        <v>150</v>
      </c>
      <c r="I151" s="16" t="n">
        <f aca="false">SUMIFS(Rótulos!$G$5:$G$212,Rótulos!$A$5:$A$212,$A151,Rótulos!$B$5:$B$212,$B151,Rótulos!$C$5:$C$212,$C151,Rótulos!$H$5:$H$212,$D151,Rótulos!$I$5:$I$212,$E151,Rótulos!$F$5:$F$212,"B2B")</f>
        <v>0</v>
      </c>
      <c r="J151" s="17" t="n">
        <f aca="false">H151+I151</f>
        <v>150</v>
      </c>
    </row>
    <row r="152" customFormat="false" ht="15" hidden="false" customHeight="false" outlineLevel="0" collapsed="false">
      <c r="A152" s="4" t="s">
        <v>77</v>
      </c>
      <c r="B152" s="4" t="s">
        <v>33</v>
      </c>
      <c r="C152" s="4" t="n">
        <v>1000</v>
      </c>
      <c r="D152" s="4" t="s">
        <v>24</v>
      </c>
      <c r="E152" s="4" t="s">
        <v>32</v>
      </c>
      <c r="F152" s="4" t="s">
        <v>33</v>
      </c>
      <c r="G152" s="4" t="s">
        <v>30</v>
      </c>
      <c r="H152" s="16" t="n">
        <f aca="false">SUMIFS(Rótulos!$G$5:$G$212,Rótulos!$A$5:$A$212,$A152,Rótulos!$B$5:$B$212,$B152,Rótulos!$C$5:$C$212,$C152,Rótulos!$H$5:$H$212,$D152,Rótulos!$I$5:$I$212,$E152,Rótulos!$F$5:$F$212,"B2C")</f>
        <v>0</v>
      </c>
      <c r="I152" s="16" t="n">
        <f aca="false">SUMIFS(Rótulos!$G$5:$G$212,Rótulos!$A$5:$A$212,$A152,Rótulos!$B$5:$B$212,$B152,Rótulos!$C$5:$C$212,$C152,Rótulos!$H$5:$H$212,$D152,Rótulos!$I$5:$I$212,$E152,Rótulos!$F$5:$F$212,"B2B")</f>
        <v>9</v>
      </c>
      <c r="J152" s="17" t="n">
        <f aca="false">H152+I152</f>
        <v>9</v>
      </c>
    </row>
    <row r="153" customFormat="false" ht="15" hidden="false" customHeight="false" outlineLevel="0" collapsed="false">
      <c r="A153" s="4" t="s">
        <v>78</v>
      </c>
      <c r="B153" s="4" t="s">
        <v>12</v>
      </c>
      <c r="C153" s="4" t="n">
        <v>15</v>
      </c>
      <c r="D153" s="4" t="s">
        <v>16</v>
      </c>
      <c r="E153" s="4" t="s">
        <v>17</v>
      </c>
      <c r="F153" s="4" t="s">
        <v>14</v>
      </c>
      <c r="G153" s="4" t="s">
        <v>15</v>
      </c>
      <c r="H153" s="16" t="n">
        <f aca="false">SUMIFS(Rótulos!$G$5:$G$212,Rótulos!$A$5:$A$212,$A153,Rótulos!$B$5:$B$212,$B153,Rótulos!$C$5:$C$212,$C153,Rótulos!$H$5:$H$212,$D153,Rótulos!$I$5:$I$212,$E153,Rótulos!$F$5:$F$212,"B2C")</f>
        <v>200</v>
      </c>
      <c r="I153" s="16" t="n">
        <f aca="false">SUMIFS(Rótulos!$G$5:$G$212,Rótulos!$A$5:$A$212,$A153,Rótulos!$B$5:$B$212,$B153,Rótulos!$C$5:$C$212,$C153,Rótulos!$H$5:$H$212,$D153,Rótulos!$I$5:$I$212,$E153,Rótulos!$F$5:$F$212,"B2B")</f>
        <v>0</v>
      </c>
      <c r="J153" s="17" t="n">
        <f aca="false">H153+I153</f>
        <v>200</v>
      </c>
    </row>
    <row r="154" customFormat="false" ht="15" hidden="false" customHeight="false" outlineLevel="0" collapsed="false">
      <c r="A154" s="4" t="s">
        <v>78</v>
      </c>
      <c r="B154" s="4" t="s">
        <v>18</v>
      </c>
      <c r="C154" s="4" t="n">
        <v>250</v>
      </c>
      <c r="D154" s="4" t="s">
        <v>16</v>
      </c>
      <c r="E154" s="4" t="s">
        <v>21</v>
      </c>
      <c r="F154" s="4" t="s">
        <v>117</v>
      </c>
      <c r="G154" s="4" t="s">
        <v>15</v>
      </c>
      <c r="H154" s="16" t="n">
        <f aca="false">SUMIFS(Rótulos!$G$5:$G$212,Rótulos!$A$5:$A$212,$A154,Rótulos!$B$5:$B$212,$B154,Rótulos!$C$5:$C$212,$C154,Rótulos!$H$5:$H$212,$D154,Rótulos!$I$5:$I$212,$E154,Rótulos!$F$5:$F$212,"B2C")</f>
        <v>36</v>
      </c>
      <c r="I154" s="16" t="n">
        <f aca="false">SUMIFS(Rótulos!$G$5:$G$212,Rótulos!$A$5:$A$212,$A154,Rótulos!$B$5:$B$212,$B154,Rótulos!$C$5:$C$212,$C154,Rótulos!$H$5:$H$212,$D154,Rótulos!$I$5:$I$212,$E154,Rótulos!$F$5:$F$212,"B2B")</f>
        <v>0</v>
      </c>
      <c r="J154" s="17" t="n">
        <f aca="false">H154+I154</f>
        <v>36</v>
      </c>
    </row>
    <row r="155" customFormat="false" ht="15" hidden="false" customHeight="false" outlineLevel="0" collapsed="false">
      <c r="A155" s="4" t="s">
        <v>78</v>
      </c>
      <c r="B155" s="4" t="s">
        <v>18</v>
      </c>
      <c r="C155" s="4" t="n">
        <v>250</v>
      </c>
      <c r="D155" s="4" t="s">
        <v>24</v>
      </c>
      <c r="E155" s="4" t="s">
        <v>25</v>
      </c>
      <c r="F155" s="4" t="s">
        <v>23</v>
      </c>
      <c r="G155" s="4" t="s">
        <v>15</v>
      </c>
      <c r="H155" s="16" t="n">
        <f aca="false">SUMIFS(Rótulos!$G$5:$G$212,Rótulos!$A$5:$A$212,$A155,Rótulos!$B$5:$B$212,$B155,Rótulos!$C$5:$C$212,$C155,Rótulos!$H$5:$H$212,$D155,Rótulos!$I$5:$I$212,$E155,Rótulos!$F$5:$F$212,"B2C")</f>
        <v>12</v>
      </c>
      <c r="I155" s="16" t="n">
        <f aca="false">SUMIFS(Rótulos!$G$5:$G$212,Rótulos!$A$5:$A$212,$A155,Rótulos!$B$5:$B$212,$B155,Rótulos!$C$5:$C$212,$C155,Rótulos!$H$5:$H$212,$D155,Rótulos!$I$5:$I$212,$E155,Rótulos!$F$5:$F$212,"B2B")</f>
        <v>0</v>
      </c>
      <c r="J155" s="17" t="n">
        <f aca="false">H155+I155</f>
        <v>12</v>
      </c>
    </row>
    <row r="156" customFormat="false" ht="15" hidden="false" customHeight="false" outlineLevel="0" collapsed="false">
      <c r="A156" s="4" t="s">
        <v>79</v>
      </c>
      <c r="B156" s="4" t="s">
        <v>29</v>
      </c>
      <c r="C156" s="4" t="n">
        <v>1000</v>
      </c>
      <c r="D156" s="4" t="s">
        <v>24</v>
      </c>
      <c r="E156" s="4" t="s">
        <v>32</v>
      </c>
      <c r="F156" s="4" t="s">
        <v>29</v>
      </c>
      <c r="G156" s="4" t="s">
        <v>30</v>
      </c>
      <c r="H156" s="16" t="n">
        <f aca="false">SUMIFS(Rótulos!$G$5:$G$212,Rótulos!$A$5:$A$212,$A156,Rótulos!$B$5:$B$212,$B156,Rótulos!$C$5:$C$212,$C156,Rótulos!$H$5:$H$212,$D156,Rótulos!$I$5:$I$212,$E156,Rótulos!$F$5:$F$212,"B2C")</f>
        <v>0</v>
      </c>
      <c r="I156" s="16" t="n">
        <f aca="false">SUMIFS(Rótulos!$G$5:$G$212,Rótulos!$A$5:$A$212,$A156,Rótulos!$B$5:$B$212,$B156,Rótulos!$C$5:$C$212,$C156,Rótulos!$H$5:$H$212,$D156,Rótulos!$I$5:$I$212,$E156,Rótulos!$F$5:$F$212,"B2B")</f>
        <v>4</v>
      </c>
      <c r="J156" s="17" t="n">
        <f aca="false">H156+I156</f>
        <v>4</v>
      </c>
    </row>
    <row r="157" customFormat="false" ht="15" hidden="false" customHeight="false" outlineLevel="0" collapsed="false">
      <c r="A157" s="4" t="s">
        <v>80</v>
      </c>
      <c r="B157" s="4" t="s">
        <v>29</v>
      </c>
      <c r="C157" s="4" t="n">
        <v>400</v>
      </c>
      <c r="D157" s="4" t="s">
        <v>24</v>
      </c>
      <c r="E157" s="4" t="s">
        <v>31</v>
      </c>
      <c r="F157" s="4" t="s">
        <v>29</v>
      </c>
      <c r="G157" s="4" t="s">
        <v>30</v>
      </c>
      <c r="H157" s="16" t="n">
        <f aca="false">SUMIFS(Rótulos!$G$5:$G$212,Rótulos!$A$5:$A$212,$A157,Rótulos!$B$5:$B$212,$B157,Rótulos!$C$5:$C$212,$C157,Rótulos!$H$5:$H$212,$D157,Rótulos!$I$5:$I$212,$E157,Rótulos!$F$5:$F$212,"B2C")</f>
        <v>0</v>
      </c>
      <c r="I157" s="16" t="n">
        <f aca="false">SUMIFS(Rótulos!$G$5:$G$212,Rótulos!$A$5:$A$212,$A157,Rótulos!$B$5:$B$212,$B157,Rótulos!$C$5:$C$212,$C157,Rótulos!$H$5:$H$212,$D157,Rótulos!$I$5:$I$212,$E157,Rótulos!$F$5:$F$212,"B2B")</f>
        <v>9</v>
      </c>
      <c r="J157" s="17" t="n">
        <f aca="false">H157+I157</f>
        <v>9</v>
      </c>
    </row>
    <row r="158" customFormat="false" ht="15" hidden="false" customHeight="false" outlineLevel="0" collapsed="false">
      <c r="A158" s="4" t="s">
        <v>80</v>
      </c>
      <c r="B158" s="4" t="s">
        <v>33</v>
      </c>
      <c r="C158" s="4" t="n">
        <v>100</v>
      </c>
      <c r="D158" s="4" t="s">
        <v>24</v>
      </c>
      <c r="E158" s="4" t="s">
        <v>34</v>
      </c>
      <c r="F158" s="4" t="s">
        <v>33</v>
      </c>
      <c r="G158" s="4" t="s">
        <v>30</v>
      </c>
      <c r="H158" s="16" t="n">
        <f aca="false">SUMIFS(Rótulos!$G$5:$G$212,Rótulos!$A$5:$A$212,$A158,Rótulos!$B$5:$B$212,$B158,Rótulos!$C$5:$C$212,$C158,Rótulos!$H$5:$H$212,$D158,Rótulos!$I$5:$I$212,$E158,Rótulos!$F$5:$F$212,"B2C")</f>
        <v>0</v>
      </c>
      <c r="I158" s="16" t="n">
        <f aca="false">SUMIFS(Rótulos!$G$5:$G$212,Rótulos!$A$5:$A$212,$A158,Rótulos!$B$5:$B$212,$B158,Rótulos!$C$5:$C$212,$C158,Rótulos!$H$5:$H$212,$D158,Rótulos!$I$5:$I$212,$E158,Rótulos!$F$5:$F$212,"B2B")</f>
        <v>9</v>
      </c>
      <c r="J158" s="17" t="n">
        <f aca="false">H158+I158</f>
        <v>9</v>
      </c>
    </row>
    <row r="159" customFormat="false" ht="15" hidden="false" customHeight="false" outlineLevel="0" collapsed="false">
      <c r="A159" s="4" t="s">
        <v>80</v>
      </c>
      <c r="B159" s="4" t="s">
        <v>33</v>
      </c>
      <c r="C159" s="4" t="n">
        <v>500</v>
      </c>
      <c r="D159" s="4" t="s">
        <v>24</v>
      </c>
      <c r="E159" s="4" t="s">
        <v>31</v>
      </c>
      <c r="F159" s="4" t="s">
        <v>33</v>
      </c>
      <c r="G159" s="4" t="s">
        <v>30</v>
      </c>
      <c r="H159" s="16" t="n">
        <f aca="false">SUMIFS(Rótulos!$G$5:$G$212,Rótulos!$A$5:$A$212,$A159,Rótulos!$B$5:$B$212,$B159,Rótulos!$C$5:$C$212,$C159,Rótulos!$H$5:$H$212,$D159,Rótulos!$I$5:$I$212,$E159,Rótulos!$F$5:$F$212,"B2C")</f>
        <v>0</v>
      </c>
      <c r="I159" s="16" t="n">
        <f aca="false">SUMIFS(Rótulos!$G$5:$G$212,Rótulos!$A$5:$A$212,$A159,Rótulos!$B$5:$B$212,$B159,Rótulos!$C$5:$C$212,$C159,Rótulos!$H$5:$H$212,$D159,Rótulos!$I$5:$I$212,$E159,Rótulos!$F$5:$F$212,"B2B")</f>
        <v>9</v>
      </c>
      <c r="J159" s="17" t="n">
        <f aca="false">H159+I159</f>
        <v>9</v>
      </c>
    </row>
    <row r="160" customFormat="false" ht="15" hidden="false" customHeight="false" outlineLevel="0" collapsed="false">
      <c r="A160" s="4" t="s">
        <v>81</v>
      </c>
      <c r="B160" s="4" t="s">
        <v>12</v>
      </c>
      <c r="C160" s="4" t="n">
        <v>15</v>
      </c>
      <c r="D160" s="4" t="s">
        <v>16</v>
      </c>
      <c r="E160" s="4" t="s">
        <v>17</v>
      </c>
      <c r="F160" s="4" t="s">
        <v>14</v>
      </c>
      <c r="G160" s="4" t="s">
        <v>15</v>
      </c>
      <c r="H160" s="16" t="n">
        <f aca="false">SUMIFS(Rótulos!$G$5:$G$212,Rótulos!$A$5:$A$212,$A160,Rótulos!$B$5:$B$212,$B160,Rótulos!$C$5:$C$212,$C160,Rótulos!$H$5:$H$212,$D160,Rótulos!$I$5:$I$212,$E160,Rótulos!$F$5:$F$212,"B2C")</f>
        <v>200</v>
      </c>
      <c r="I160" s="16" t="n">
        <f aca="false">SUMIFS(Rótulos!$G$5:$G$212,Rótulos!$A$5:$A$212,$A160,Rótulos!$B$5:$B$212,$B160,Rótulos!$C$5:$C$212,$C160,Rótulos!$H$5:$H$212,$D160,Rótulos!$I$5:$I$212,$E160,Rótulos!$F$5:$F$212,"B2B")</f>
        <v>0</v>
      </c>
      <c r="J160" s="17" t="n">
        <f aca="false">H160+I160</f>
        <v>200</v>
      </c>
    </row>
    <row r="161" customFormat="false" ht="15" hidden="false" customHeight="false" outlineLevel="0" collapsed="false">
      <c r="A161" s="4" t="s">
        <v>81</v>
      </c>
      <c r="B161" s="4" t="s">
        <v>18</v>
      </c>
      <c r="C161" s="4" t="n">
        <v>250</v>
      </c>
      <c r="D161" s="4" t="s">
        <v>16</v>
      </c>
      <c r="E161" s="4" t="s">
        <v>21</v>
      </c>
      <c r="F161" s="4" t="s">
        <v>117</v>
      </c>
      <c r="G161" s="4" t="s">
        <v>15</v>
      </c>
      <c r="H161" s="16" t="n">
        <f aca="false">SUMIFS(Rótulos!$G$5:$G$212,Rótulos!$A$5:$A$212,$A161,Rótulos!$B$5:$B$212,$B161,Rótulos!$C$5:$C$212,$C161,Rótulos!$H$5:$H$212,$D161,Rótulos!$I$5:$I$212,$E161,Rótulos!$F$5:$F$212,"B2C")</f>
        <v>36</v>
      </c>
      <c r="I161" s="16" t="n">
        <f aca="false">SUMIFS(Rótulos!$G$5:$G$212,Rótulos!$A$5:$A$212,$A161,Rótulos!$B$5:$B$212,$B161,Rótulos!$C$5:$C$212,$C161,Rótulos!$H$5:$H$212,$D161,Rótulos!$I$5:$I$212,$E161,Rótulos!$F$5:$F$212,"B2B")</f>
        <v>0</v>
      </c>
      <c r="J161" s="17" t="n">
        <f aca="false">H161+I161</f>
        <v>36</v>
      </c>
    </row>
    <row r="162" customFormat="false" ht="15" hidden="false" customHeight="false" outlineLevel="0" collapsed="false">
      <c r="A162" s="4" t="s">
        <v>81</v>
      </c>
      <c r="B162" s="4" t="s">
        <v>18</v>
      </c>
      <c r="C162" s="4" t="n">
        <v>250</v>
      </c>
      <c r="D162" s="4" t="s">
        <v>24</v>
      </c>
      <c r="E162" s="4" t="s">
        <v>25</v>
      </c>
      <c r="F162" s="4" t="s">
        <v>23</v>
      </c>
      <c r="G162" s="4" t="s">
        <v>15</v>
      </c>
      <c r="H162" s="16" t="n">
        <f aca="false">SUMIFS(Rótulos!$G$5:$G$212,Rótulos!$A$5:$A$212,$A162,Rótulos!$B$5:$B$212,$B162,Rótulos!$C$5:$C$212,$C162,Rótulos!$H$5:$H$212,$D162,Rótulos!$I$5:$I$212,$E162,Rótulos!$F$5:$F$212,"B2C")</f>
        <v>12</v>
      </c>
      <c r="I162" s="16" t="n">
        <f aca="false">SUMIFS(Rótulos!$G$5:$G$212,Rótulos!$A$5:$A$212,$A162,Rótulos!$B$5:$B$212,$B162,Rótulos!$C$5:$C$212,$C162,Rótulos!$H$5:$H$212,$D162,Rótulos!$I$5:$I$212,$E162,Rótulos!$F$5:$F$212,"B2B")</f>
        <v>0</v>
      </c>
      <c r="J162" s="17" t="n">
        <f aca="false">H162+I162</f>
        <v>12</v>
      </c>
    </row>
    <row r="163" customFormat="false" ht="15" hidden="false" customHeight="false" outlineLevel="0" collapsed="false">
      <c r="A163" s="4" t="s">
        <v>82</v>
      </c>
      <c r="B163" s="4" t="s">
        <v>29</v>
      </c>
      <c r="C163" s="4" t="n">
        <v>400</v>
      </c>
      <c r="D163" s="4" t="s">
        <v>24</v>
      </c>
      <c r="E163" s="4" t="s">
        <v>31</v>
      </c>
      <c r="F163" s="4" t="s">
        <v>29</v>
      </c>
      <c r="G163" s="4" t="s">
        <v>30</v>
      </c>
      <c r="H163" s="16" t="n">
        <f aca="false">SUMIFS(Rótulos!$G$5:$G$212,Rótulos!$A$5:$A$212,$A163,Rótulos!$B$5:$B$212,$B163,Rótulos!$C$5:$C$212,$C163,Rótulos!$H$5:$H$212,$D163,Rótulos!$I$5:$I$212,$E163,Rótulos!$F$5:$F$212,"B2C")</f>
        <v>0</v>
      </c>
      <c r="I163" s="16" t="n">
        <f aca="false">SUMIFS(Rótulos!$G$5:$G$212,Rótulos!$A$5:$A$212,$A163,Rótulos!$B$5:$B$212,$B163,Rótulos!$C$5:$C$212,$C163,Rótulos!$H$5:$H$212,$D163,Rótulos!$I$5:$I$212,$E163,Rótulos!$F$5:$F$212,"B2B")</f>
        <v>1</v>
      </c>
      <c r="J163" s="17" t="n">
        <f aca="false">H163+I163</f>
        <v>1</v>
      </c>
    </row>
    <row r="164" customFormat="false" ht="15" hidden="false" customHeight="false" outlineLevel="0" collapsed="false">
      <c r="A164" s="4" t="s">
        <v>82</v>
      </c>
      <c r="B164" s="4" t="s">
        <v>33</v>
      </c>
      <c r="C164" s="4" t="n">
        <v>500</v>
      </c>
      <c r="D164" s="4" t="s">
        <v>24</v>
      </c>
      <c r="E164" s="4" t="s">
        <v>31</v>
      </c>
      <c r="F164" s="4" t="s">
        <v>33</v>
      </c>
      <c r="G164" s="4" t="s">
        <v>30</v>
      </c>
      <c r="H164" s="16" t="n">
        <f aca="false">SUMIFS(Rótulos!$G$5:$G$212,Rótulos!$A$5:$A$212,$A164,Rótulos!$B$5:$B$212,$B164,Rótulos!$C$5:$C$212,$C164,Rótulos!$H$5:$H$212,$D164,Rótulos!$I$5:$I$212,$E164,Rótulos!$F$5:$F$212,"B2C")</f>
        <v>0</v>
      </c>
      <c r="I164" s="16" t="n">
        <f aca="false">SUMIFS(Rótulos!$G$5:$G$212,Rótulos!$A$5:$A$212,$A164,Rótulos!$B$5:$B$212,$B164,Rótulos!$C$5:$C$212,$C164,Rótulos!$H$5:$H$212,$D164,Rótulos!$I$5:$I$212,$E164,Rótulos!$F$5:$F$212,"B2B")</f>
        <v>10</v>
      </c>
      <c r="J164" s="17" t="n">
        <f aca="false">H164+I164</f>
        <v>10</v>
      </c>
    </row>
    <row r="165" customFormat="false" ht="15" hidden="false" customHeight="false" outlineLevel="0" collapsed="false">
      <c r="A165" s="4" t="s">
        <v>83</v>
      </c>
      <c r="B165" s="4" t="s">
        <v>29</v>
      </c>
      <c r="C165" s="4" t="n">
        <v>200</v>
      </c>
      <c r="D165" s="4" t="s">
        <v>24</v>
      </c>
      <c r="E165" s="4" t="s">
        <v>110</v>
      </c>
      <c r="F165" s="4" t="s">
        <v>29</v>
      </c>
      <c r="G165" s="4" t="s">
        <v>30</v>
      </c>
      <c r="H165" s="16" t="n">
        <f aca="false">SUMIFS(Rótulos!$G$5:$G$212,Rótulos!$A$5:$A$212,$A165,Rótulos!$B$5:$B$212,$B165,Rótulos!$C$5:$C$212,$C165,Rótulos!$H$5:$H$212,$D165,Rótulos!$I$5:$I$212,"=",Rótulos!$F$5:$F$212,"B2C")</f>
        <v>0</v>
      </c>
      <c r="I165" s="16" t="n">
        <f aca="false">SUMIFS(Rótulos!$G$5:$G$212,Rótulos!$A$5:$A$212,$A165,Rótulos!$B$5:$B$212,$B165,Rótulos!$C$5:$C$212,$C165,Rótulos!$H$5:$H$212,$D165,Rótulos!$I$5:$I$212,"=",Rótulos!$F$5:$F$212,"B2B")</f>
        <v>2</v>
      </c>
      <c r="J165" s="17" t="n">
        <f aca="false">H165+I165</f>
        <v>2</v>
      </c>
    </row>
    <row r="166" customFormat="false" ht="15" hidden="false" customHeight="false" outlineLevel="0" collapsed="false">
      <c r="A166" s="4" t="s">
        <v>83</v>
      </c>
      <c r="B166" s="4" t="s">
        <v>29</v>
      </c>
      <c r="C166" s="4" t="n">
        <v>400</v>
      </c>
      <c r="D166" s="4" t="s">
        <v>24</v>
      </c>
      <c r="E166" s="4" t="s">
        <v>31</v>
      </c>
      <c r="F166" s="4" t="s">
        <v>29</v>
      </c>
      <c r="G166" s="4" t="s">
        <v>30</v>
      </c>
      <c r="H166" s="16" t="n">
        <f aca="false">SUMIFS(Rótulos!$G$5:$G$212,Rótulos!$A$5:$A$212,$A166,Rótulos!$B$5:$B$212,$B166,Rótulos!$C$5:$C$212,$C166,Rótulos!$H$5:$H$212,$D166,Rótulos!$I$5:$I$212,$E166,Rótulos!$F$5:$F$212,"B2C")</f>
        <v>0</v>
      </c>
      <c r="I166" s="16" t="n">
        <f aca="false">SUMIFS(Rótulos!$G$5:$G$212,Rótulos!$A$5:$A$212,$A166,Rótulos!$B$5:$B$212,$B166,Rótulos!$C$5:$C$212,$C166,Rótulos!$H$5:$H$212,$D166,Rótulos!$I$5:$I$212,$E166,Rótulos!$F$5:$F$212,"B2B")</f>
        <v>11</v>
      </c>
      <c r="J166" s="17" t="n">
        <f aca="false">H166+I166</f>
        <v>11</v>
      </c>
    </row>
    <row r="167" customFormat="false" ht="15" hidden="false" customHeight="false" outlineLevel="0" collapsed="false">
      <c r="A167" s="4" t="s">
        <v>83</v>
      </c>
      <c r="B167" s="4" t="s">
        <v>29</v>
      </c>
      <c r="C167" s="4" t="n">
        <v>1000</v>
      </c>
      <c r="D167" s="4" t="s">
        <v>24</v>
      </c>
      <c r="E167" s="4" t="s">
        <v>32</v>
      </c>
      <c r="F167" s="4" t="s">
        <v>29</v>
      </c>
      <c r="G167" s="4" t="s">
        <v>30</v>
      </c>
      <c r="H167" s="16" t="n">
        <f aca="false">SUMIFS(Rótulos!$G$5:$G$212,Rótulos!$A$5:$A$212,$A167,Rótulos!$B$5:$B$212,$B167,Rótulos!$C$5:$C$212,$C167,Rótulos!$H$5:$H$212,$D167,Rótulos!$I$5:$I$212,$E167,Rótulos!$F$5:$F$212,"B2C")</f>
        <v>0</v>
      </c>
      <c r="I167" s="16" t="n">
        <f aca="false">SUMIFS(Rótulos!$G$5:$G$212,Rótulos!$A$5:$A$212,$A167,Rótulos!$B$5:$B$212,$B167,Rótulos!$C$5:$C$212,$C167,Rótulos!$H$5:$H$212,$D167,Rótulos!$I$5:$I$212,$E167,Rótulos!$F$5:$F$212,"B2B")</f>
        <v>4</v>
      </c>
      <c r="J167" s="17" t="n">
        <f aca="false">H167+I167</f>
        <v>4</v>
      </c>
    </row>
    <row r="168" customFormat="false" ht="15" hidden="false" customHeight="false" outlineLevel="0" collapsed="false">
      <c r="A168" s="4" t="s">
        <v>83</v>
      </c>
      <c r="B168" s="4" t="s">
        <v>33</v>
      </c>
      <c r="C168" s="4" t="n">
        <v>100</v>
      </c>
      <c r="D168" s="4" t="s">
        <v>24</v>
      </c>
      <c r="E168" s="4" t="s">
        <v>34</v>
      </c>
      <c r="F168" s="4" t="s">
        <v>33</v>
      </c>
      <c r="G168" s="4" t="s">
        <v>30</v>
      </c>
      <c r="H168" s="16" t="n">
        <f aca="false">SUMIFS(Rótulos!$G$5:$G$212,Rótulos!$A$5:$A$212,$A168,Rótulos!$B$5:$B$212,$B168,Rótulos!$C$5:$C$212,$C168,Rótulos!$H$5:$H$212,$D168,Rótulos!$I$5:$I$212,$E168,Rótulos!$F$5:$F$212,"B2C")</f>
        <v>0</v>
      </c>
      <c r="I168" s="16" t="n">
        <f aca="false">SUMIFS(Rótulos!$G$5:$G$212,Rótulos!$A$5:$A$212,$A168,Rótulos!$B$5:$B$212,$B168,Rótulos!$C$5:$C$212,$C168,Rótulos!$H$5:$H$212,$D168,Rótulos!$I$5:$I$212,$E168,Rótulos!$F$5:$F$212,"B2B")</f>
        <v>4</v>
      </c>
      <c r="J168" s="17" t="n">
        <f aca="false">H168+I168</f>
        <v>4</v>
      </c>
    </row>
    <row r="169" customFormat="false" ht="15" hidden="false" customHeight="false" outlineLevel="0" collapsed="false">
      <c r="A169" s="4" t="s">
        <v>83</v>
      </c>
      <c r="B169" s="4" t="s">
        <v>33</v>
      </c>
      <c r="C169" s="4" t="n">
        <v>500</v>
      </c>
      <c r="D169" s="4" t="s">
        <v>24</v>
      </c>
      <c r="E169" s="4" t="s">
        <v>31</v>
      </c>
      <c r="F169" s="4" t="s">
        <v>33</v>
      </c>
      <c r="G169" s="4" t="s">
        <v>30</v>
      </c>
      <c r="H169" s="16" t="n">
        <f aca="false">SUMIFS(Rótulos!$G$5:$G$212,Rótulos!$A$5:$A$212,$A169,Rótulos!$B$5:$B$212,$B169,Rótulos!$C$5:$C$212,$C169,Rótulos!$H$5:$H$212,$D169,Rótulos!$I$5:$I$212,$E169,Rótulos!$F$5:$F$212,"B2C")</f>
        <v>0</v>
      </c>
      <c r="I169" s="16" t="n">
        <f aca="false">SUMIFS(Rótulos!$G$5:$G$212,Rótulos!$A$5:$A$212,$A169,Rótulos!$B$5:$B$212,$B169,Rótulos!$C$5:$C$212,$C169,Rótulos!$H$5:$H$212,$D169,Rótulos!$I$5:$I$212,$E169,Rótulos!$F$5:$F$212,"B2B")</f>
        <v>24</v>
      </c>
      <c r="J169" s="17" t="n">
        <f aca="false">H169+I169</f>
        <v>24</v>
      </c>
    </row>
    <row r="170" customFormat="false" ht="15" hidden="false" customHeight="false" outlineLevel="0" collapsed="false">
      <c r="A170" s="4" t="s">
        <v>84</v>
      </c>
      <c r="B170" s="4" t="s">
        <v>29</v>
      </c>
      <c r="C170" s="4" t="n">
        <v>160</v>
      </c>
      <c r="D170" s="4" t="s">
        <v>24</v>
      </c>
      <c r="E170" s="4" t="s">
        <v>110</v>
      </c>
      <c r="F170" s="4" t="s">
        <v>29</v>
      </c>
      <c r="G170" s="4" t="s">
        <v>30</v>
      </c>
      <c r="H170" s="16" t="n">
        <f aca="false">SUMIFS(Rótulos!$G$5:$G$212,Rótulos!$A$5:$A$212,$A170,Rótulos!$B$5:$B$212,$B170,Rótulos!$C$5:$C$212,$C170,Rótulos!$H$5:$H$212,$D170,Rótulos!$I$5:$I$212,"=",Rótulos!$F$5:$F$212,"B2C")</f>
        <v>0</v>
      </c>
      <c r="I170" s="16" t="n">
        <f aca="false">SUMIFS(Rótulos!$G$5:$G$212,Rótulos!$A$5:$A$212,$A170,Rótulos!$B$5:$B$212,$B170,Rótulos!$C$5:$C$212,$C170,Rótulos!$H$5:$H$212,$D170,Rótulos!$I$5:$I$212,"=",Rótulos!$F$5:$F$212,"B2B")</f>
        <v>24</v>
      </c>
      <c r="J170" s="17" t="n">
        <f aca="false">H170+I170</f>
        <v>24</v>
      </c>
    </row>
    <row r="171" customFormat="false" ht="15" hidden="false" customHeight="false" outlineLevel="0" collapsed="false">
      <c r="A171" s="4" t="s">
        <v>84</v>
      </c>
      <c r="B171" s="4" t="s">
        <v>29</v>
      </c>
      <c r="C171" s="4" t="n">
        <v>400</v>
      </c>
      <c r="D171" s="4" t="s">
        <v>24</v>
      </c>
      <c r="E171" s="4" t="s">
        <v>31</v>
      </c>
      <c r="F171" s="4" t="s">
        <v>29</v>
      </c>
      <c r="G171" s="4" t="s">
        <v>30</v>
      </c>
      <c r="H171" s="16" t="n">
        <f aca="false">SUMIFS(Rótulos!$G$5:$G$212,Rótulos!$A$5:$A$212,$A171,Rótulos!$B$5:$B$212,$B171,Rótulos!$C$5:$C$212,$C171,Rótulos!$H$5:$H$212,$D171,Rótulos!$I$5:$I$212,$E171,Rótulos!$F$5:$F$212,"B2C")</f>
        <v>0</v>
      </c>
      <c r="I171" s="16" t="n">
        <f aca="false">SUMIFS(Rótulos!$G$5:$G$212,Rótulos!$A$5:$A$212,$A171,Rótulos!$B$5:$B$212,$B171,Rótulos!$C$5:$C$212,$C171,Rótulos!$H$5:$H$212,$D171,Rótulos!$I$5:$I$212,$E171,Rótulos!$F$5:$F$212,"B2B")</f>
        <v>24</v>
      </c>
      <c r="J171" s="17" t="n">
        <f aca="false">H171+I171</f>
        <v>24</v>
      </c>
    </row>
    <row r="172" customFormat="false" ht="15" hidden="false" customHeight="false" outlineLevel="0" collapsed="false">
      <c r="A172" s="4" t="s">
        <v>84</v>
      </c>
      <c r="B172" s="4" t="s">
        <v>29</v>
      </c>
      <c r="C172" s="4" t="n">
        <v>1000</v>
      </c>
      <c r="D172" s="4" t="s">
        <v>24</v>
      </c>
      <c r="E172" s="4" t="s">
        <v>32</v>
      </c>
      <c r="F172" s="4" t="s">
        <v>29</v>
      </c>
      <c r="G172" s="4" t="s">
        <v>30</v>
      </c>
      <c r="H172" s="16" t="n">
        <f aca="false">SUMIFS(Rótulos!$G$5:$G$212,Rótulos!$A$5:$A$212,$A172,Rótulos!$B$5:$B$212,$B172,Rótulos!$C$5:$C$212,$C172,Rótulos!$H$5:$H$212,$D172,Rótulos!$I$5:$I$212,$E172,Rótulos!$F$5:$F$212,"B2C")</f>
        <v>0</v>
      </c>
      <c r="I172" s="16" t="n">
        <f aca="false">SUMIFS(Rótulos!$G$5:$G$212,Rótulos!$A$5:$A$212,$A172,Rótulos!$B$5:$B$212,$B172,Rótulos!$C$5:$C$212,$C172,Rótulos!$H$5:$H$212,$D172,Rótulos!$I$5:$I$212,$E172,Rótulos!$F$5:$F$212,"B2B")</f>
        <v>20</v>
      </c>
      <c r="J172" s="17" t="n">
        <f aca="false">H172+I172</f>
        <v>20</v>
      </c>
    </row>
    <row r="173" customFormat="false" ht="15" hidden="false" customHeight="false" outlineLevel="0" collapsed="false">
      <c r="A173" s="4" t="s">
        <v>84</v>
      </c>
      <c r="B173" s="4" t="s">
        <v>33</v>
      </c>
      <c r="C173" s="4" t="n">
        <v>100</v>
      </c>
      <c r="D173" s="4" t="s">
        <v>24</v>
      </c>
      <c r="E173" s="4" t="s">
        <v>34</v>
      </c>
      <c r="F173" s="4" t="s">
        <v>33</v>
      </c>
      <c r="G173" s="4" t="s">
        <v>30</v>
      </c>
      <c r="H173" s="16" t="n">
        <f aca="false">SUMIFS(Rótulos!$G$5:$G$212,Rótulos!$A$5:$A$212,$A173,Rótulos!$B$5:$B$212,$B173,Rótulos!$C$5:$C$212,$C173,Rótulos!$H$5:$H$212,$D173,Rótulos!$I$5:$I$212,$E173,Rótulos!$F$5:$F$212,"B2C")</f>
        <v>0</v>
      </c>
      <c r="I173" s="16" t="n">
        <f aca="false">SUMIFS(Rótulos!$G$5:$G$212,Rótulos!$A$5:$A$212,$A173,Rótulos!$B$5:$B$212,$B173,Rótulos!$C$5:$C$212,$C173,Rótulos!$H$5:$H$212,$D173,Rótulos!$I$5:$I$212,$E173,Rótulos!$F$5:$F$212,"B2B")</f>
        <v>12</v>
      </c>
      <c r="J173" s="17" t="n">
        <f aca="false">H173+I173</f>
        <v>12</v>
      </c>
    </row>
    <row r="174" customFormat="false" ht="15" hidden="false" customHeight="false" outlineLevel="0" collapsed="false">
      <c r="A174" s="4" t="s">
        <v>84</v>
      </c>
      <c r="B174" s="4" t="s">
        <v>33</v>
      </c>
      <c r="C174" s="4" t="n">
        <v>500</v>
      </c>
      <c r="D174" s="4" t="s">
        <v>24</v>
      </c>
      <c r="E174" s="4" t="s">
        <v>31</v>
      </c>
      <c r="F174" s="4" t="s">
        <v>33</v>
      </c>
      <c r="G174" s="4" t="s">
        <v>30</v>
      </c>
      <c r="H174" s="16" t="n">
        <f aca="false">SUMIFS(Rótulos!$G$5:$G$212,Rótulos!$A$5:$A$212,$A174,Rótulos!$B$5:$B$212,$B174,Rótulos!$C$5:$C$212,$C174,Rótulos!$H$5:$H$212,$D174,Rótulos!$I$5:$I$212,$E174,Rótulos!$F$5:$F$212,"B2C")</f>
        <v>0</v>
      </c>
      <c r="I174" s="16" t="n">
        <f aca="false">SUMIFS(Rótulos!$G$5:$G$212,Rótulos!$A$5:$A$212,$A174,Rótulos!$B$5:$B$212,$B174,Rótulos!$C$5:$C$212,$C174,Rótulos!$H$5:$H$212,$D174,Rótulos!$I$5:$I$212,$E174,Rótulos!$F$5:$F$212,"B2B")</f>
        <v>40</v>
      </c>
      <c r="J174" s="17" t="n">
        <f aca="false">H174+I174</f>
        <v>40</v>
      </c>
    </row>
    <row r="175" customFormat="false" ht="15" hidden="false" customHeight="false" outlineLevel="0" collapsed="false">
      <c r="A175" s="4" t="s">
        <v>85</v>
      </c>
      <c r="B175" s="4" t="s">
        <v>12</v>
      </c>
      <c r="C175" s="4" t="n">
        <v>15</v>
      </c>
      <c r="D175" s="4" t="s">
        <v>16</v>
      </c>
      <c r="E175" s="4" t="s">
        <v>17</v>
      </c>
      <c r="F175" s="4" t="s">
        <v>14</v>
      </c>
      <c r="G175" s="4" t="s">
        <v>15</v>
      </c>
      <c r="H175" s="16" t="n">
        <f aca="false">SUMIFS(Rótulos!$G$5:$G$212,Rótulos!$A$5:$A$212,$A175,Rótulos!$B$5:$B$212,$B175,Rótulos!$C$5:$C$212,$C175,Rótulos!$H$5:$H$212,$D175,Rótulos!$I$5:$I$212,$E175,Rótulos!$F$5:$F$212,"B2C")</f>
        <v>200</v>
      </c>
      <c r="I175" s="16" t="n">
        <f aca="false">SUMIFS(Rótulos!$G$5:$G$212,Rótulos!$A$5:$A$212,$A175,Rótulos!$B$5:$B$212,$B175,Rótulos!$C$5:$C$212,$C175,Rótulos!$H$5:$H$212,$D175,Rótulos!$I$5:$I$212,$E175,Rótulos!$F$5:$F$212,"B2B")</f>
        <v>0</v>
      </c>
      <c r="J175" s="17" t="n">
        <f aca="false">H175+I175</f>
        <v>200</v>
      </c>
    </row>
    <row r="176" customFormat="false" ht="15" hidden="false" customHeight="false" outlineLevel="0" collapsed="false">
      <c r="A176" s="4" t="s">
        <v>85</v>
      </c>
      <c r="B176" s="4" t="s">
        <v>18</v>
      </c>
      <c r="C176" s="4" t="n">
        <v>250</v>
      </c>
      <c r="D176" s="4" t="s">
        <v>16</v>
      </c>
      <c r="E176" s="4" t="s">
        <v>21</v>
      </c>
      <c r="F176" s="4" t="s">
        <v>117</v>
      </c>
      <c r="G176" s="4" t="s">
        <v>15</v>
      </c>
      <c r="H176" s="16" t="n">
        <f aca="false">SUMIFS(Rótulos!$G$5:$G$212,Rótulos!$A$5:$A$212,$A176,Rótulos!$B$5:$B$212,$B176,Rótulos!$C$5:$C$212,$C176,Rótulos!$H$5:$H$212,$D176,Rótulos!$I$5:$I$212,$E176,Rótulos!$F$5:$F$212,"B2C")</f>
        <v>36</v>
      </c>
      <c r="I176" s="16" t="n">
        <f aca="false">SUMIFS(Rótulos!$G$5:$G$212,Rótulos!$A$5:$A$212,$A176,Rótulos!$B$5:$B$212,$B176,Rótulos!$C$5:$C$212,$C176,Rótulos!$H$5:$H$212,$D176,Rótulos!$I$5:$I$212,$E176,Rótulos!$F$5:$F$212,"B2B")</f>
        <v>0</v>
      </c>
      <c r="J176" s="17" t="n">
        <f aca="false">H176+I176</f>
        <v>36</v>
      </c>
    </row>
    <row r="177" customFormat="false" ht="15" hidden="false" customHeight="false" outlineLevel="0" collapsed="false">
      <c r="A177" s="4" t="s">
        <v>85</v>
      </c>
      <c r="B177" s="4" t="s">
        <v>18</v>
      </c>
      <c r="C177" s="4" t="n">
        <v>250</v>
      </c>
      <c r="D177" s="4" t="s">
        <v>24</v>
      </c>
      <c r="E177" s="4" t="s">
        <v>25</v>
      </c>
      <c r="F177" s="4" t="s">
        <v>23</v>
      </c>
      <c r="G177" s="4" t="s">
        <v>15</v>
      </c>
      <c r="H177" s="16" t="n">
        <f aca="false">SUMIFS(Rótulos!$G$5:$G$212,Rótulos!$A$5:$A$212,$A177,Rótulos!$B$5:$B$212,$B177,Rótulos!$C$5:$C$212,$C177,Rótulos!$H$5:$H$212,$D177,Rótulos!$I$5:$I$212,$E177,Rótulos!$F$5:$F$212,"B2C")</f>
        <v>12</v>
      </c>
      <c r="I177" s="16" t="n">
        <f aca="false">SUMIFS(Rótulos!$G$5:$G$212,Rótulos!$A$5:$A$212,$A177,Rótulos!$B$5:$B$212,$B177,Rótulos!$C$5:$C$212,$C177,Rótulos!$H$5:$H$212,$D177,Rótulos!$I$5:$I$212,$E177,Rótulos!$F$5:$F$212,"B2B")</f>
        <v>0</v>
      </c>
      <c r="J177" s="17" t="n">
        <f aca="false">H177+I177</f>
        <v>12</v>
      </c>
    </row>
    <row r="178" customFormat="false" ht="15" hidden="false" customHeight="false" outlineLevel="0" collapsed="false">
      <c r="A178" s="4" t="s">
        <v>86</v>
      </c>
      <c r="B178" s="4" t="s">
        <v>29</v>
      </c>
      <c r="C178" s="4" t="n">
        <v>400</v>
      </c>
      <c r="D178" s="4" t="s">
        <v>24</v>
      </c>
      <c r="E178" s="4" t="s">
        <v>31</v>
      </c>
      <c r="F178" s="4" t="s">
        <v>29</v>
      </c>
      <c r="G178" s="4" t="s">
        <v>30</v>
      </c>
      <c r="H178" s="16" t="n">
        <f aca="false">SUMIFS(Rótulos!$G$5:$G$212,Rótulos!$A$5:$A$212,$A178,Rótulos!$B$5:$B$212,$B178,Rótulos!$C$5:$C$212,$C178,Rótulos!$H$5:$H$212,$D178,Rótulos!$I$5:$I$212,$E178,Rótulos!$F$5:$F$212,"B2C")</f>
        <v>0</v>
      </c>
      <c r="I178" s="16" t="n">
        <f aca="false">SUMIFS(Rótulos!$G$5:$G$212,Rótulos!$A$5:$A$212,$A178,Rótulos!$B$5:$B$212,$B178,Rótulos!$C$5:$C$212,$C178,Rótulos!$H$5:$H$212,$D178,Rótulos!$I$5:$I$212,$E178,Rótulos!$F$5:$F$212,"B2B")</f>
        <v>101</v>
      </c>
      <c r="J178" s="17" t="n">
        <f aca="false">H178+I178</f>
        <v>101</v>
      </c>
    </row>
    <row r="179" customFormat="false" ht="15" hidden="false" customHeight="false" outlineLevel="0" collapsed="false">
      <c r="A179" s="4" t="s">
        <v>86</v>
      </c>
      <c r="B179" s="4" t="s">
        <v>33</v>
      </c>
      <c r="C179" s="4" t="n">
        <v>500</v>
      </c>
      <c r="D179" s="4" t="s">
        <v>24</v>
      </c>
      <c r="E179" s="4" t="s">
        <v>31</v>
      </c>
      <c r="F179" s="4" t="s">
        <v>33</v>
      </c>
      <c r="G179" s="4" t="s">
        <v>30</v>
      </c>
      <c r="H179" s="16" t="n">
        <f aca="false">SUMIFS(Rótulos!$G$5:$G$212,Rótulos!$A$5:$A$212,$A179,Rótulos!$B$5:$B$212,$B179,Rótulos!$C$5:$C$212,$C179,Rótulos!$H$5:$H$212,$D179,Rótulos!$I$5:$I$212,$E179,Rótulos!$F$5:$F$212,"B2C")</f>
        <v>0</v>
      </c>
      <c r="I179" s="16" t="n">
        <f aca="false">SUMIFS(Rótulos!$G$5:$G$212,Rótulos!$A$5:$A$212,$A179,Rótulos!$B$5:$B$212,$B179,Rótulos!$C$5:$C$212,$C179,Rótulos!$H$5:$H$212,$D179,Rótulos!$I$5:$I$212,$E179,Rótulos!$F$5:$F$212,"B2B")</f>
        <v>10</v>
      </c>
      <c r="J179" s="17" t="n">
        <f aca="false">H179+I179</f>
        <v>10</v>
      </c>
    </row>
    <row r="180" customFormat="false" ht="15" hidden="false" customHeight="false" outlineLevel="0" collapsed="false">
      <c r="A180" s="4" t="s">
        <v>87</v>
      </c>
      <c r="B180" s="4" t="s">
        <v>29</v>
      </c>
      <c r="C180" s="4" t="n">
        <v>400</v>
      </c>
      <c r="D180" s="4" t="s">
        <v>24</v>
      </c>
      <c r="E180" s="4" t="s">
        <v>31</v>
      </c>
      <c r="F180" s="4" t="s">
        <v>29</v>
      </c>
      <c r="G180" s="4" t="s">
        <v>30</v>
      </c>
      <c r="H180" s="16" t="n">
        <f aca="false">SUMIFS(Rótulos!$G$5:$G$212,Rótulos!$A$5:$A$212,$A180,Rótulos!$B$5:$B$212,$B180,Rótulos!$C$5:$C$212,$C180,Rótulos!$H$5:$H$212,$D180,Rótulos!$I$5:$I$212,$E180,Rótulos!$F$5:$F$212,"B2C")</f>
        <v>0</v>
      </c>
      <c r="I180" s="16" t="n">
        <f aca="false">SUMIFS(Rótulos!$G$5:$G$212,Rótulos!$A$5:$A$212,$A180,Rótulos!$B$5:$B$212,$B180,Rótulos!$C$5:$C$212,$C180,Rótulos!$H$5:$H$212,$D180,Rótulos!$I$5:$I$212,$E180,Rótulos!$F$5:$F$212,"B2B")</f>
        <v>2</v>
      </c>
      <c r="J180" s="17" t="n">
        <f aca="false">H180+I180</f>
        <v>2</v>
      </c>
    </row>
    <row r="181" customFormat="false" ht="15" hidden="false" customHeight="false" outlineLevel="0" collapsed="false">
      <c r="A181" s="4" t="s">
        <v>87</v>
      </c>
      <c r="B181" s="4" t="s">
        <v>33</v>
      </c>
      <c r="C181" s="4" t="n">
        <v>100</v>
      </c>
      <c r="D181" s="4" t="s">
        <v>24</v>
      </c>
      <c r="E181" s="4" t="s">
        <v>34</v>
      </c>
      <c r="F181" s="4" t="s">
        <v>33</v>
      </c>
      <c r="G181" s="4" t="s">
        <v>30</v>
      </c>
      <c r="H181" s="16" t="n">
        <f aca="false">SUMIFS(Rótulos!$G$5:$G$212,Rótulos!$A$5:$A$212,$A181,Rótulos!$B$5:$B$212,$B181,Rótulos!$C$5:$C$212,$C181,Rótulos!$H$5:$H$212,$D181,Rótulos!$I$5:$I$212,$E181,Rótulos!$F$5:$F$212,"B2C")</f>
        <v>0</v>
      </c>
      <c r="I181" s="16" t="n">
        <f aca="false">SUMIFS(Rótulos!$G$5:$G$212,Rótulos!$A$5:$A$212,$A181,Rótulos!$B$5:$B$212,$B181,Rótulos!$C$5:$C$212,$C181,Rótulos!$H$5:$H$212,$D181,Rótulos!$I$5:$I$212,$E181,Rótulos!$F$5:$F$212,"B2B")</f>
        <v>2</v>
      </c>
      <c r="J181" s="17" t="n">
        <f aca="false">H181+I181</f>
        <v>2</v>
      </c>
    </row>
    <row r="182" customFormat="false" ht="15" hidden="false" customHeight="false" outlineLevel="0" collapsed="false">
      <c r="A182" s="4" t="s">
        <v>88</v>
      </c>
      <c r="B182" s="4" t="s">
        <v>12</v>
      </c>
      <c r="C182" s="4" t="n">
        <v>15</v>
      </c>
      <c r="D182" s="4" t="s">
        <v>16</v>
      </c>
      <c r="E182" s="4" t="s">
        <v>17</v>
      </c>
      <c r="F182" s="4" t="s">
        <v>14</v>
      </c>
      <c r="G182" s="4" t="s">
        <v>15</v>
      </c>
      <c r="H182" s="16" t="n">
        <f aca="false">SUMIFS(Rótulos!$G$5:$G$212,Rótulos!$A$5:$A$212,$A182,Rótulos!$B$5:$B$212,$B182,Rótulos!$C$5:$C$212,$C182,Rótulos!$H$5:$H$212,$D182,Rótulos!$I$5:$I$212,$E182,Rótulos!$F$5:$F$212,"B2C")</f>
        <v>200</v>
      </c>
      <c r="I182" s="16" t="n">
        <f aca="false">SUMIFS(Rótulos!$G$5:$G$212,Rótulos!$A$5:$A$212,$A182,Rótulos!$B$5:$B$212,$B182,Rótulos!$C$5:$C$212,$C182,Rótulos!$H$5:$H$212,$D182,Rótulos!$I$5:$I$212,$E182,Rótulos!$F$5:$F$212,"B2B")</f>
        <v>0</v>
      </c>
      <c r="J182" s="17" t="n">
        <f aca="false">H182+I182</f>
        <v>200</v>
      </c>
    </row>
    <row r="183" customFormat="false" ht="15" hidden="false" customHeight="false" outlineLevel="0" collapsed="false">
      <c r="A183" s="4" t="s">
        <v>88</v>
      </c>
      <c r="B183" s="4" t="s">
        <v>18</v>
      </c>
      <c r="C183" s="4" t="n">
        <v>250</v>
      </c>
      <c r="D183" s="4" t="s">
        <v>16</v>
      </c>
      <c r="E183" s="4" t="s">
        <v>21</v>
      </c>
      <c r="F183" s="4" t="s">
        <v>117</v>
      </c>
      <c r="G183" s="4" t="s">
        <v>15</v>
      </c>
      <c r="H183" s="16" t="n">
        <f aca="false">SUMIFS(Rótulos!$G$5:$G$212,Rótulos!$A$5:$A$212,$A183,Rótulos!$B$5:$B$212,$B183,Rótulos!$C$5:$C$212,$C183,Rótulos!$H$5:$H$212,$D183,Rótulos!$I$5:$I$212,$E183,Rótulos!$F$5:$F$212,"B2C")</f>
        <v>36</v>
      </c>
      <c r="I183" s="16" t="n">
        <f aca="false">SUMIFS(Rótulos!$G$5:$G$212,Rótulos!$A$5:$A$212,$A183,Rótulos!$B$5:$B$212,$B183,Rótulos!$C$5:$C$212,$C183,Rótulos!$H$5:$H$212,$D183,Rótulos!$I$5:$I$212,$E183,Rótulos!$F$5:$F$212,"B2B")</f>
        <v>0</v>
      </c>
      <c r="J183" s="17" t="n">
        <f aca="false">H183+I183</f>
        <v>36</v>
      </c>
    </row>
    <row r="184" customFormat="false" ht="15" hidden="false" customHeight="false" outlineLevel="0" collapsed="false">
      <c r="A184" s="4" t="s">
        <v>88</v>
      </c>
      <c r="B184" s="4" t="s">
        <v>18</v>
      </c>
      <c r="C184" s="4" t="n">
        <v>250</v>
      </c>
      <c r="D184" s="4" t="s">
        <v>24</v>
      </c>
      <c r="E184" s="4" t="s">
        <v>25</v>
      </c>
      <c r="F184" s="4" t="s">
        <v>23</v>
      </c>
      <c r="G184" s="4" t="s">
        <v>15</v>
      </c>
      <c r="H184" s="16" t="n">
        <f aca="false">SUMIFS(Rótulos!$G$5:$G$212,Rótulos!$A$5:$A$212,$A184,Rótulos!$B$5:$B$212,$B184,Rótulos!$C$5:$C$212,$C184,Rótulos!$H$5:$H$212,$D184,Rótulos!$I$5:$I$212,$E184,Rótulos!$F$5:$F$212,"B2C")</f>
        <v>12</v>
      </c>
      <c r="I184" s="16" t="n">
        <f aca="false">SUMIFS(Rótulos!$G$5:$G$212,Rótulos!$A$5:$A$212,$A184,Rótulos!$B$5:$B$212,$B184,Rótulos!$C$5:$C$212,$C184,Rótulos!$H$5:$H$212,$D184,Rótulos!$I$5:$I$212,$E184,Rótulos!$F$5:$F$212,"B2B")</f>
        <v>0</v>
      </c>
      <c r="J184" s="17" t="n">
        <f aca="false">H184+I184</f>
        <v>12</v>
      </c>
    </row>
    <row r="185" customFormat="false" ht="15" hidden="false" customHeight="false" outlineLevel="0" collapsed="false">
      <c r="A185" s="4" t="s">
        <v>89</v>
      </c>
      <c r="B185" s="4" t="s">
        <v>12</v>
      </c>
      <c r="C185" s="4" t="n">
        <v>15</v>
      </c>
      <c r="D185" s="4" t="s">
        <v>16</v>
      </c>
      <c r="E185" s="4" t="s">
        <v>17</v>
      </c>
      <c r="F185" s="4" t="s">
        <v>14</v>
      </c>
      <c r="G185" s="4" t="s">
        <v>15</v>
      </c>
      <c r="H185" s="16" t="n">
        <f aca="false">SUMIFS(Rótulos!$G$5:$G$212,Rótulos!$A$5:$A$212,$A185,Rótulos!$B$5:$B$212,$B185,Rótulos!$C$5:$C$212,$C185,Rótulos!$H$5:$H$212,$D185,Rótulos!$I$5:$I$212,$E185,Rótulos!$F$5:$F$212,"B2C")</f>
        <v>200</v>
      </c>
      <c r="I185" s="16" t="n">
        <f aca="false">SUMIFS(Rótulos!$G$5:$G$212,Rótulos!$A$5:$A$212,$A185,Rótulos!$B$5:$B$212,$B185,Rótulos!$C$5:$C$212,$C185,Rótulos!$H$5:$H$212,$D185,Rótulos!$I$5:$I$212,$E185,Rótulos!$F$5:$F$212,"B2B")</f>
        <v>0</v>
      </c>
      <c r="J185" s="17" t="n">
        <f aca="false">H185+I185</f>
        <v>200</v>
      </c>
    </row>
    <row r="186" customFormat="false" ht="15" hidden="false" customHeight="false" outlineLevel="0" collapsed="false">
      <c r="A186" s="4" t="s">
        <v>89</v>
      </c>
      <c r="B186" s="4" t="s">
        <v>18</v>
      </c>
      <c r="C186" s="4" t="n">
        <v>250</v>
      </c>
      <c r="D186" s="4" t="s">
        <v>16</v>
      </c>
      <c r="E186" s="4" t="s">
        <v>21</v>
      </c>
      <c r="F186" s="4" t="s">
        <v>117</v>
      </c>
      <c r="G186" s="4" t="s">
        <v>15</v>
      </c>
      <c r="H186" s="16" t="n">
        <f aca="false">SUMIFS(Rótulos!$G$5:$G$212,Rótulos!$A$5:$A$212,$A186,Rótulos!$B$5:$B$212,$B186,Rótulos!$C$5:$C$212,$C186,Rótulos!$H$5:$H$212,$D186,Rótulos!$I$5:$I$212,$E186,Rótulos!$F$5:$F$212,"B2C")</f>
        <v>36</v>
      </c>
      <c r="I186" s="16" t="n">
        <f aca="false">SUMIFS(Rótulos!$G$5:$G$212,Rótulos!$A$5:$A$212,$A186,Rótulos!$B$5:$B$212,$B186,Rótulos!$C$5:$C$212,$C186,Rótulos!$H$5:$H$212,$D186,Rótulos!$I$5:$I$212,$E186,Rótulos!$F$5:$F$212,"B2B")</f>
        <v>0</v>
      </c>
      <c r="J186" s="17" t="n">
        <f aca="false">H186+I186</f>
        <v>36</v>
      </c>
    </row>
    <row r="187" customFormat="false" ht="15" hidden="false" customHeight="false" outlineLevel="0" collapsed="false">
      <c r="A187" s="4" t="s">
        <v>89</v>
      </c>
      <c r="B187" s="4" t="s">
        <v>18</v>
      </c>
      <c r="C187" s="4" t="n">
        <v>250</v>
      </c>
      <c r="D187" s="4" t="s">
        <v>24</v>
      </c>
      <c r="E187" s="4" t="s">
        <v>25</v>
      </c>
      <c r="F187" s="4" t="s">
        <v>23</v>
      </c>
      <c r="G187" s="4" t="s">
        <v>15</v>
      </c>
      <c r="H187" s="16" t="n">
        <f aca="false">SUMIFS(Rótulos!$G$5:$G$212,Rótulos!$A$5:$A$212,$A187,Rótulos!$B$5:$B$212,$B187,Rótulos!$C$5:$C$212,$C187,Rótulos!$H$5:$H$212,$D187,Rótulos!$I$5:$I$212,$E187,Rótulos!$F$5:$F$212,"B2C")</f>
        <v>12</v>
      </c>
      <c r="I187" s="16" t="n">
        <f aca="false">SUMIFS(Rótulos!$G$5:$G$212,Rótulos!$A$5:$A$212,$A187,Rótulos!$B$5:$B$212,$B187,Rótulos!$C$5:$C$212,$C187,Rótulos!$H$5:$H$212,$D187,Rótulos!$I$5:$I$212,$E187,Rótulos!$F$5:$F$212,"B2B")</f>
        <v>0</v>
      </c>
      <c r="J187" s="17" t="n">
        <f aca="false">H187+I187</f>
        <v>12</v>
      </c>
    </row>
    <row r="188" customFormat="false" ht="15" hidden="false" customHeight="false" outlineLevel="0" collapsed="false">
      <c r="A188" s="4" t="s">
        <v>90</v>
      </c>
      <c r="B188" s="4" t="s">
        <v>29</v>
      </c>
      <c r="C188" s="4" t="n">
        <v>400</v>
      </c>
      <c r="D188" s="4" t="s">
        <v>24</v>
      </c>
      <c r="E188" s="4" t="s">
        <v>31</v>
      </c>
      <c r="F188" s="4" t="s">
        <v>29</v>
      </c>
      <c r="G188" s="4" t="s">
        <v>30</v>
      </c>
      <c r="H188" s="16" t="n">
        <f aca="false">SUMIFS(Rótulos!$G$5:$G$212,Rótulos!$A$5:$A$212,$A188,Rótulos!$B$5:$B$212,$B188,Rótulos!$C$5:$C$212,$C188,Rótulos!$H$5:$H$212,$D188,Rótulos!$I$5:$I$212,$E188,Rótulos!$F$5:$F$212,"B2C")</f>
        <v>0</v>
      </c>
      <c r="I188" s="16" t="n">
        <f aca="false">SUMIFS(Rótulos!$G$5:$G$212,Rótulos!$A$5:$A$212,$A188,Rótulos!$B$5:$B$212,$B188,Rótulos!$C$5:$C$212,$C188,Rótulos!$H$5:$H$212,$D188,Rótulos!$I$5:$I$212,$E188,Rótulos!$F$5:$F$212,"B2B")</f>
        <v>63</v>
      </c>
      <c r="J188" s="17" t="n">
        <f aca="false">H188+I188</f>
        <v>63</v>
      </c>
    </row>
    <row r="189" customFormat="false" ht="15" hidden="false" customHeight="false" outlineLevel="0" collapsed="false">
      <c r="A189" s="4" t="s">
        <v>90</v>
      </c>
      <c r="B189" s="4" t="s">
        <v>33</v>
      </c>
      <c r="C189" s="4" t="n">
        <v>100</v>
      </c>
      <c r="D189" s="4" t="s">
        <v>24</v>
      </c>
      <c r="E189" s="4" t="s">
        <v>34</v>
      </c>
      <c r="F189" s="4" t="s">
        <v>33</v>
      </c>
      <c r="G189" s="4" t="s">
        <v>30</v>
      </c>
      <c r="H189" s="16" t="n">
        <f aca="false">SUMIFS(Rótulos!$G$5:$G$212,Rótulos!$A$5:$A$212,$A189,Rótulos!$B$5:$B$212,$B189,Rótulos!$C$5:$C$212,$C189,Rótulos!$H$5:$H$212,$D189,Rótulos!$I$5:$I$212,$E189,Rótulos!$F$5:$F$212,"B2C")</f>
        <v>0</v>
      </c>
      <c r="I189" s="16" t="n">
        <f aca="false">SUMIFS(Rótulos!$G$5:$G$212,Rótulos!$A$5:$A$212,$A189,Rótulos!$B$5:$B$212,$B189,Rótulos!$C$5:$C$212,$C189,Rótulos!$H$5:$H$212,$D189,Rótulos!$I$5:$I$212,$E189,Rótulos!$F$5:$F$212,"B2B")</f>
        <v>48</v>
      </c>
      <c r="J189" s="17" t="n">
        <f aca="false">H189+I189</f>
        <v>48</v>
      </c>
    </row>
    <row r="190" customFormat="false" ht="15" hidden="false" customHeight="false" outlineLevel="0" collapsed="false">
      <c r="A190" s="4" t="s">
        <v>91</v>
      </c>
      <c r="B190" s="4" t="s">
        <v>12</v>
      </c>
      <c r="C190" s="4" t="n">
        <v>15</v>
      </c>
      <c r="D190" s="4" t="s">
        <v>16</v>
      </c>
      <c r="E190" s="4" t="s">
        <v>17</v>
      </c>
      <c r="F190" s="4" t="s">
        <v>14</v>
      </c>
      <c r="G190" s="4" t="s">
        <v>15</v>
      </c>
      <c r="H190" s="16" t="n">
        <f aca="false">SUMIFS(Rótulos!$G$5:$G$212,Rótulos!$A$5:$A$212,$A190,Rótulos!$B$5:$B$212,$B190,Rótulos!$C$5:$C$212,$C190,Rótulos!$H$5:$H$212,$D190,Rótulos!$I$5:$I$212,$E190,Rótulos!$F$5:$F$212,"B2C")</f>
        <v>200</v>
      </c>
      <c r="I190" s="16" t="n">
        <f aca="false">SUMIFS(Rótulos!$G$5:$G$212,Rótulos!$A$5:$A$212,$A190,Rótulos!$B$5:$B$212,$B190,Rótulos!$C$5:$C$212,$C190,Rótulos!$H$5:$H$212,$D190,Rótulos!$I$5:$I$212,$E190,Rótulos!$F$5:$F$212,"B2B")</f>
        <v>0</v>
      </c>
      <c r="J190" s="17" t="n">
        <f aca="false">H190+I190</f>
        <v>200</v>
      </c>
    </row>
    <row r="191" customFormat="false" ht="15" hidden="false" customHeight="false" outlineLevel="0" collapsed="false">
      <c r="A191" s="4" t="s">
        <v>91</v>
      </c>
      <c r="B191" s="4" t="s">
        <v>18</v>
      </c>
      <c r="C191" s="4" t="n">
        <v>250</v>
      </c>
      <c r="D191" s="4" t="s">
        <v>16</v>
      </c>
      <c r="E191" s="4" t="s">
        <v>21</v>
      </c>
      <c r="F191" s="4" t="s">
        <v>117</v>
      </c>
      <c r="G191" s="4" t="s">
        <v>15</v>
      </c>
      <c r="H191" s="16" t="n">
        <f aca="false">SUMIFS(Rótulos!$G$5:$G$212,Rótulos!$A$5:$A$212,$A191,Rótulos!$B$5:$B$212,$B191,Rótulos!$C$5:$C$212,$C191,Rótulos!$H$5:$H$212,$D191,Rótulos!$I$5:$I$212,$E191,Rótulos!$F$5:$F$212,"B2C")</f>
        <v>36</v>
      </c>
      <c r="I191" s="16" t="n">
        <f aca="false">SUMIFS(Rótulos!$G$5:$G$212,Rótulos!$A$5:$A$212,$A191,Rótulos!$B$5:$B$212,$B191,Rótulos!$C$5:$C$212,$C191,Rótulos!$H$5:$H$212,$D191,Rótulos!$I$5:$I$212,$E191,Rótulos!$F$5:$F$212,"B2B")</f>
        <v>0</v>
      </c>
      <c r="J191" s="17" t="n">
        <f aca="false">H191+I191</f>
        <v>36</v>
      </c>
    </row>
    <row r="192" customFormat="false" ht="15" hidden="false" customHeight="false" outlineLevel="0" collapsed="false">
      <c r="A192" s="4" t="s">
        <v>91</v>
      </c>
      <c r="B192" s="4" t="s">
        <v>18</v>
      </c>
      <c r="C192" s="4" t="n">
        <v>250</v>
      </c>
      <c r="D192" s="4" t="s">
        <v>24</v>
      </c>
      <c r="E192" s="4" t="s">
        <v>25</v>
      </c>
      <c r="F192" s="4" t="s">
        <v>23</v>
      </c>
      <c r="G192" s="4" t="s">
        <v>15</v>
      </c>
      <c r="H192" s="16" t="n">
        <f aca="false">SUMIFS(Rótulos!$G$5:$G$212,Rótulos!$A$5:$A$212,$A192,Rótulos!$B$5:$B$212,$B192,Rótulos!$C$5:$C$212,$C192,Rótulos!$H$5:$H$212,$D192,Rótulos!$I$5:$I$212,$E192,Rótulos!$F$5:$F$212,"B2C")</f>
        <v>12</v>
      </c>
      <c r="I192" s="16" t="n">
        <f aca="false">SUMIFS(Rótulos!$G$5:$G$212,Rótulos!$A$5:$A$212,$A192,Rótulos!$B$5:$B$212,$B192,Rótulos!$C$5:$C$212,$C192,Rótulos!$H$5:$H$212,$D192,Rótulos!$I$5:$I$212,$E192,Rótulos!$F$5:$F$212,"B2B")</f>
        <v>0</v>
      </c>
      <c r="J192" s="17" t="n">
        <f aca="false">H192+I192</f>
        <v>12</v>
      </c>
    </row>
    <row r="194" customFormat="false" ht="15" hidden="false" customHeight="false" outlineLevel="0" collapsed="false">
      <c r="G194" s="9" t="s">
        <v>92</v>
      </c>
      <c r="H194" s="10" t="n">
        <f aca="false">SUBTOTAL(9,H5:H192)</f>
        <v>4436</v>
      </c>
      <c r="I194" s="10" t="n">
        <f aca="false">SUBTOTAL(9,I5:I192)</f>
        <v>3896</v>
      </c>
      <c r="J194" s="10" t="n">
        <f aca="false">SUBTOTAL(9,J5:J192)</f>
        <v>8332</v>
      </c>
    </row>
    <row r="195" customFormat="false" ht="15" hidden="false" customHeight="false" outlineLevel="0" collapsed="false">
      <c r="A195" s="2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338</v>
      </c>
    </row>
    <row r="2" customFormat="false" ht="15" hidden="false" customHeight="false" outlineLevel="0" collapsed="false">
      <c r="A2" s="2" t="s">
        <v>339</v>
      </c>
    </row>
    <row r="4" customFormat="false" ht="36" hidden="false" customHeight="true" outlineLevel="0" collapsed="false">
      <c r="A4" s="3" t="s">
        <v>340</v>
      </c>
      <c r="B4" s="3" t="s">
        <v>4</v>
      </c>
      <c r="C4" s="3" t="s">
        <v>10</v>
      </c>
      <c r="D4" s="3" t="s">
        <v>341</v>
      </c>
      <c r="E4" s="3" t="s">
        <v>15</v>
      </c>
      <c r="F4" s="3" t="s">
        <v>30</v>
      </c>
      <c r="G4" s="3" t="s">
        <v>111</v>
      </c>
    </row>
    <row r="5" customFormat="false" ht="15" hidden="false" customHeight="false" outlineLevel="0" collapsed="false">
      <c r="A5" s="21" t="s">
        <v>16</v>
      </c>
      <c r="B5" s="21" t="n">
        <v>15</v>
      </c>
      <c r="C5" s="21" t="s">
        <v>17</v>
      </c>
      <c r="D5" s="21" t="n">
        <f aca="false">COUNTIFS('Por Fragrância'!$D$5:$D$192,$A5,'Por Fragrância'!$C$5:$C$192,$B5,'Por Fragrância'!$E$5:$E$192,$C5)</f>
        <v>24</v>
      </c>
      <c r="E5" s="21" t="n">
        <f aca="false">SUMIFS(Rótulos!$G$5:$G$212,Rótulos!$H$5:$H$212,$A5,Rótulos!$C$5:$C$212,$B5,Rótulos!$I$5:$I$212,$C5,Rótulos!$F$5:$F$212,"B2C")</f>
        <v>3400</v>
      </c>
      <c r="F5" s="21" t="n">
        <f aca="false">SUMIFS(Rótulos!$G$5:$G$212,Rótulos!$H$5:$H$212,$A5,Rótulos!$C$5:$C$212,$B5,Rótulos!$I$5:$I$212,$C5,Rótulos!$F$5:$F$212,"B2B")</f>
        <v>0</v>
      </c>
      <c r="G5" s="21" t="n">
        <f aca="false">E5+F5</f>
        <v>3400</v>
      </c>
    </row>
    <row r="6" customFormat="false" ht="15" hidden="false" customHeight="false" outlineLevel="0" collapsed="false">
      <c r="A6" s="21" t="s">
        <v>16</v>
      </c>
      <c r="B6" s="21" t="n">
        <v>250</v>
      </c>
      <c r="C6" s="21" t="s">
        <v>21</v>
      </c>
      <c r="D6" s="21" t="n">
        <f aca="false">COUNTIFS('Por Fragrância'!$D$5:$D$192,$A6,'Por Fragrância'!$C$5:$C$192,$B6,'Por Fragrância'!$E$5:$E$192,$C6)</f>
        <v>17</v>
      </c>
      <c r="E6" s="21" t="n">
        <f aca="false">SUMIFS(Rótulos!$G$5:$G$212,Rótulos!$H$5:$H$212,$A6,Rótulos!$C$5:$C$212,$B6,Rótulos!$I$5:$I$212,$C6,Rótulos!$F$5:$F$212,"B2C")</f>
        <v>472</v>
      </c>
      <c r="F6" s="21" t="n">
        <f aca="false">SUMIFS(Rótulos!$G$5:$G$212,Rótulos!$H$5:$H$212,$A6,Rótulos!$C$5:$C$212,$B6,Rótulos!$I$5:$I$212,$C6,Rótulos!$F$5:$F$212,"B2B")</f>
        <v>0</v>
      </c>
      <c r="G6" s="21" t="n">
        <f aca="false">E6+F6</f>
        <v>472</v>
      </c>
    </row>
    <row r="7" customFormat="false" ht="15" hidden="false" customHeight="false" outlineLevel="0" collapsed="false">
      <c r="A7" s="21" t="s">
        <v>24</v>
      </c>
      <c r="B7" s="21" t="n">
        <v>100</v>
      </c>
      <c r="C7" s="21" t="s">
        <v>34</v>
      </c>
      <c r="D7" s="21" t="n">
        <f aca="false">COUNTIFS('Por Fragrância'!$D$5:$D$192,$A7,'Por Fragrância'!$C$5:$C$192,$B7,'Por Fragrância'!$E$5:$E$192,$C7)</f>
        <v>31</v>
      </c>
      <c r="E7" s="21" t="n">
        <f aca="false">SUMIFS(Rótulos!$G$5:$G$212,Rótulos!$H$5:$H$212,$A7,Rótulos!$C$5:$C$212,$B7,Rótulos!$I$5:$I$212,$C7,Rótulos!$F$5:$F$212,"B2C")</f>
        <v>360</v>
      </c>
      <c r="F7" s="21" t="n">
        <f aca="false">SUMIFS(Rótulos!$G$5:$G$212,Rótulos!$H$5:$H$212,$A7,Rótulos!$C$5:$C$212,$B7,Rótulos!$I$5:$I$212,$C7,Rótulos!$F$5:$F$212,"B2B")</f>
        <v>1307</v>
      </c>
      <c r="G7" s="21" t="n">
        <f aca="false">E7+F7</f>
        <v>1667</v>
      </c>
    </row>
    <row r="8" customFormat="false" ht="15" hidden="false" customHeight="false" outlineLevel="0" collapsed="false">
      <c r="A8" s="21" t="s">
        <v>24</v>
      </c>
      <c r="B8" s="21" t="n">
        <v>150</v>
      </c>
      <c r="C8" s="21" t="s">
        <v>25</v>
      </c>
      <c r="D8" s="21" t="n">
        <f aca="false">COUNTIFS('Por Fragrância'!$D$5:$D$192,$A8,'Por Fragrância'!$C$5:$C$192,$B8,'Por Fragrância'!$E$5:$E$192,$C8)</f>
        <v>6</v>
      </c>
      <c r="E8" s="21" t="n">
        <f aca="false">SUMIFS(Rótulos!$G$5:$G$212,Rótulos!$H$5:$H$212,$A8,Rótulos!$C$5:$C$212,$B8,Rótulos!$I$5:$I$212,$C8,Rótulos!$F$5:$F$212,"B2C")</f>
        <v>0</v>
      </c>
      <c r="F8" s="21" t="n">
        <f aca="false">SUMIFS(Rótulos!$G$5:$G$212,Rótulos!$H$5:$H$212,$A8,Rótulos!$C$5:$C$212,$B8,Rótulos!$I$5:$I$212,$C8,Rótulos!$F$5:$F$212,"B2B")</f>
        <v>63</v>
      </c>
      <c r="G8" s="21" t="n">
        <f aca="false">E8+F8</f>
        <v>63</v>
      </c>
    </row>
    <row r="9" customFormat="false" ht="15" hidden="false" customHeight="false" outlineLevel="0" collapsed="false">
      <c r="A9" s="21" t="s">
        <v>24</v>
      </c>
      <c r="B9" s="21" t="n">
        <v>160</v>
      </c>
      <c r="C9" s="21" t="s">
        <v>110</v>
      </c>
      <c r="D9" s="21" t="n">
        <f aca="false">COUNTIFS('Por Fragrância'!$D$5:$D$192,$A9,'Por Fragrância'!$C$5:$C$192,$B9,'Por Fragrância'!$E$5:$E$192,$C9)</f>
        <v>6</v>
      </c>
      <c r="E9" s="21" t="n">
        <f aca="false">SUMIFS(Rótulos!$G$5:$G$212,Rótulos!$H$5:$H$212,$A9,Rótulos!$C$5:$C$212,$B9,Rótulos!$I$5:$I$212,"=",Rótulos!$F$5:$F$212,"B2C")</f>
        <v>0</v>
      </c>
      <c r="F9" s="21" t="n">
        <f aca="false">SUMIFS(Rótulos!$G$5:$G$212,Rótulos!$H$5:$H$212,$A9,Rótulos!$C$5:$C$212,$B9,Rótulos!$I$5:$I$212,"=",Rótulos!$F$5:$F$212,"B2B")</f>
        <v>95</v>
      </c>
      <c r="G9" s="21" t="n">
        <f aca="false">E9+F9</f>
        <v>95</v>
      </c>
    </row>
    <row r="10" customFormat="false" ht="15" hidden="false" customHeight="false" outlineLevel="0" collapsed="false">
      <c r="A10" s="21" t="s">
        <v>24</v>
      </c>
      <c r="B10" s="21" t="n">
        <v>200</v>
      </c>
      <c r="C10" s="21" t="s">
        <v>110</v>
      </c>
      <c r="D10" s="21" t="n">
        <f aca="false">COUNTIFS('Por Fragrância'!$D$5:$D$192,$A10,'Por Fragrância'!$C$5:$C$192,$B10,'Por Fragrância'!$E$5:$E$192,$C10)</f>
        <v>1</v>
      </c>
      <c r="E10" s="21" t="n">
        <f aca="false">SUMIFS(Rótulos!$G$5:$G$212,Rótulos!$H$5:$H$212,$A10,Rótulos!$C$5:$C$212,$B10,Rótulos!$I$5:$I$212,"=",Rótulos!$F$5:$F$212,"B2C")</f>
        <v>0</v>
      </c>
      <c r="F10" s="21" t="n">
        <f aca="false">SUMIFS(Rótulos!$G$5:$G$212,Rótulos!$H$5:$H$212,$A10,Rótulos!$C$5:$C$212,$B10,Rótulos!$I$5:$I$212,"=",Rótulos!$F$5:$F$212,"B2B")</f>
        <v>2</v>
      </c>
      <c r="G10" s="21" t="n">
        <f aca="false">E10+F10</f>
        <v>2</v>
      </c>
    </row>
    <row r="11" customFormat="false" ht="15" hidden="false" customHeight="false" outlineLevel="0" collapsed="false">
      <c r="A11" s="21" t="s">
        <v>24</v>
      </c>
      <c r="B11" s="21" t="n">
        <v>250</v>
      </c>
      <c r="C11" s="21" t="s">
        <v>25</v>
      </c>
      <c r="D11" s="21" t="n">
        <f aca="false">COUNTIFS('Por Fragrância'!$D$5:$D$192,$A11,'Por Fragrância'!$C$5:$C$192,$B11,'Por Fragrância'!$E$5:$E$192,$C11)</f>
        <v>22</v>
      </c>
      <c r="E11" s="21" t="n">
        <f aca="false">SUMIFS(Rótulos!$G$5:$G$212,Rótulos!$H$5:$H$212,$A11,Rótulos!$C$5:$C$212,$B11,Rótulos!$I$5:$I$212,$C11,Rótulos!$F$5:$F$212,"B2C")</f>
        <v>134</v>
      </c>
      <c r="F11" s="21" t="n">
        <f aca="false">SUMIFS(Rótulos!$G$5:$G$212,Rótulos!$H$5:$H$212,$A11,Rótulos!$C$5:$C$212,$B11,Rótulos!$I$5:$I$212,$C11,Rótulos!$F$5:$F$212,"B2B")</f>
        <v>534</v>
      </c>
      <c r="G11" s="21" t="n">
        <f aca="false">E11+F11</f>
        <v>668</v>
      </c>
    </row>
    <row r="12" customFormat="false" ht="15" hidden="false" customHeight="false" outlineLevel="0" collapsed="false">
      <c r="A12" s="21" t="s">
        <v>24</v>
      </c>
      <c r="B12" s="21" t="n">
        <v>400</v>
      </c>
      <c r="C12" s="21" t="s">
        <v>31</v>
      </c>
      <c r="D12" s="21" t="n">
        <f aca="false">COUNTIFS('Por Fragrância'!$D$5:$D$192,$A12,'Por Fragrância'!$C$5:$C$192,$B12,'Por Fragrância'!$E$5:$E$192,$C12)</f>
        <v>26</v>
      </c>
      <c r="E12" s="21" t="n">
        <f aca="false">SUMIFS(Rótulos!$G$5:$G$212,Rótulos!$H$5:$H$212,$A12,Rótulos!$C$5:$C$212,$B12,Rótulos!$I$5:$I$212,$C12,Rótulos!$F$5:$F$212,"B2C")</f>
        <v>0</v>
      </c>
      <c r="F12" s="21" t="n">
        <f aca="false">SUMIFS(Rótulos!$G$5:$G$212,Rótulos!$H$5:$H$212,$A12,Rótulos!$C$5:$C$212,$B12,Rótulos!$I$5:$I$212,$C12,Rótulos!$F$5:$F$212,"B2B")</f>
        <v>635</v>
      </c>
      <c r="G12" s="21" t="n">
        <f aca="false">E12+F12</f>
        <v>635</v>
      </c>
    </row>
    <row r="13" customFormat="false" ht="15" hidden="false" customHeight="false" outlineLevel="0" collapsed="false">
      <c r="A13" s="21" t="s">
        <v>24</v>
      </c>
      <c r="B13" s="21" t="n">
        <v>500</v>
      </c>
      <c r="C13" s="21" t="s">
        <v>31</v>
      </c>
      <c r="D13" s="21" t="n">
        <f aca="false">COUNTIFS('Por Fragrância'!$D$5:$D$192,$A13,'Por Fragrância'!$C$5:$C$192,$B13,'Por Fragrância'!$E$5:$E$192,$C13)</f>
        <v>34</v>
      </c>
      <c r="E13" s="21" t="n">
        <f aca="false">SUMIFS(Rótulos!$G$5:$G$212,Rótulos!$H$5:$H$212,$A13,Rótulos!$C$5:$C$212,$B13,Rótulos!$I$5:$I$212,$C13,Rótulos!$F$5:$F$212,"B2C")</f>
        <v>70</v>
      </c>
      <c r="F13" s="21" t="n">
        <f aca="false">SUMIFS(Rótulos!$G$5:$G$212,Rótulos!$H$5:$H$212,$A13,Rótulos!$C$5:$C$212,$B13,Rótulos!$I$5:$I$212,$C13,Rótulos!$F$5:$F$212,"B2B")</f>
        <v>1019</v>
      </c>
      <c r="G13" s="21" t="n">
        <f aca="false">E13+F13</f>
        <v>1089</v>
      </c>
    </row>
    <row r="14" customFormat="false" ht="15" hidden="false" customHeight="false" outlineLevel="0" collapsed="false">
      <c r="A14" s="21" t="s">
        <v>24</v>
      </c>
      <c r="B14" s="21" t="n">
        <v>1000</v>
      </c>
      <c r="C14" s="21" t="s">
        <v>32</v>
      </c>
      <c r="D14" s="21" t="n">
        <f aca="false">COUNTIFS('Por Fragrância'!$D$5:$D$192,$A14,'Por Fragrância'!$C$5:$C$192,$B14,'Por Fragrância'!$E$5:$E$192,$C14)</f>
        <v>18</v>
      </c>
      <c r="E14" s="21" t="n">
        <f aca="false">SUMIFS(Rótulos!$G$5:$G$212,Rótulos!$H$5:$H$212,$A14,Rótulos!$C$5:$C$212,$B14,Rótulos!$I$5:$I$212,$C14,Rótulos!$F$5:$F$212,"B2C")</f>
        <v>0</v>
      </c>
      <c r="F14" s="21" t="n">
        <f aca="false">SUMIFS(Rótulos!$G$5:$G$212,Rótulos!$H$5:$H$212,$A14,Rótulos!$C$5:$C$212,$B14,Rótulos!$I$5:$I$212,$C14,Rótulos!$F$5:$F$212,"B2B")</f>
        <v>197</v>
      </c>
      <c r="G14" s="21" t="n">
        <f aca="false">E14+F14</f>
        <v>197</v>
      </c>
    </row>
    <row r="15" customFormat="false" ht="15" hidden="false" customHeight="false" outlineLevel="0" collapsed="false">
      <c r="A15" s="21" t="s">
        <v>24</v>
      </c>
      <c r="B15" s="21" t="n">
        <v>5000</v>
      </c>
      <c r="C15" s="21" t="s">
        <v>110</v>
      </c>
      <c r="D15" s="21" t="n">
        <f aca="false">COUNTIFS('Por Fragrância'!$D$5:$D$192,$A15,'Por Fragrância'!$C$5:$C$192,$B15,'Por Fragrância'!$E$5:$E$192,$C15)</f>
        <v>3</v>
      </c>
      <c r="E15" s="21" t="n">
        <f aca="false">SUMIFS(Rótulos!$G$5:$G$212,Rótulos!$H$5:$H$212,$A15,Rótulos!$C$5:$C$212,$B15,Rótulos!$I$5:$I$212,"=",Rótulos!$F$5:$F$212,"B2C")</f>
        <v>0</v>
      </c>
      <c r="F15" s="21" t="n">
        <f aca="false">SUMIFS(Rótulos!$G$5:$G$212,Rótulos!$H$5:$H$212,$A15,Rótulos!$C$5:$C$212,$B15,Rótulos!$I$5:$I$212,"=",Rótulos!$F$5:$F$212,"B2B")</f>
        <v>44</v>
      </c>
      <c r="G15" s="21" t="n">
        <f aca="false">E15+F15</f>
        <v>44</v>
      </c>
    </row>
    <row r="16" customFormat="false" ht="15" hidden="false" customHeight="false" outlineLevel="0" collapsed="false">
      <c r="A16" s="22" t="s">
        <v>111</v>
      </c>
      <c r="B16" s="22"/>
      <c r="C16" s="22"/>
      <c r="D16" s="22" t="n">
        <f aca="false">SUM(D5:D15)</f>
        <v>188</v>
      </c>
      <c r="E16" s="22" t="n">
        <f aca="false">SUM(E5:E15)</f>
        <v>4436</v>
      </c>
      <c r="F16" s="22" t="n">
        <f aca="false">SUM(F5:F15)</f>
        <v>3896</v>
      </c>
      <c r="G16" s="22" t="n">
        <f aca="false">SUM(G5:G15)</f>
        <v>8332</v>
      </c>
    </row>
    <row r="18" customFormat="false" ht="15" hidden="false" customHeight="false" outlineLevel="0" collapsed="false">
      <c r="A18" s="9" t="s">
        <v>342</v>
      </c>
    </row>
    <row r="19" customFormat="false" ht="36" hidden="false" customHeight="true" outlineLevel="0" collapsed="false">
      <c r="A19" s="3" t="s">
        <v>10</v>
      </c>
      <c r="B19" s="3" t="s">
        <v>340</v>
      </c>
      <c r="C19" s="3" t="s">
        <v>341</v>
      </c>
      <c r="D19" s="3" t="s">
        <v>15</v>
      </c>
      <c r="E19" s="3" t="s">
        <v>30</v>
      </c>
      <c r="F19" s="3" t="s">
        <v>111</v>
      </c>
    </row>
    <row r="20" customFormat="false" ht="15" hidden="false" customHeight="false" outlineLevel="0" collapsed="false">
      <c r="A20" s="21" t="s">
        <v>34</v>
      </c>
      <c r="B20" s="21" t="s">
        <v>24</v>
      </c>
      <c r="C20" s="21" t="n">
        <f aca="false">COUNTIFS('Por Fragrância'!$E$5:$E$192,$A20,'Por Fragrância'!$D$5:$D$192,$B20)</f>
        <v>31</v>
      </c>
      <c r="D20" s="21" t="n">
        <f aca="false">SUMIFS(Rótulos!$G$5:$G$212,Rótulos!$I$5:$I$212,$A20,Rótulos!$H$5:$H$212,$B20,Rótulos!$F$5:$F$212,"B2C")</f>
        <v>360</v>
      </c>
      <c r="E20" s="21" t="n">
        <f aca="false">SUMIFS(Rótulos!$G$5:$G$212,Rótulos!$I$5:$I$212,$A20,Rótulos!$H$5:$H$212,$B20,Rótulos!$F$5:$F$212,"B2B")</f>
        <v>1307</v>
      </c>
      <c r="F20" s="21" t="n">
        <f aca="false">D20+E20</f>
        <v>1667</v>
      </c>
    </row>
    <row r="21" customFormat="false" ht="15" hidden="false" customHeight="false" outlineLevel="0" collapsed="false">
      <c r="A21" s="21" t="s">
        <v>25</v>
      </c>
      <c r="B21" s="21" t="s">
        <v>24</v>
      </c>
      <c r="C21" s="21" t="n">
        <f aca="false">COUNTIFS('Por Fragrância'!$E$5:$E$192,$A21,'Por Fragrância'!$D$5:$D$192,$B21)</f>
        <v>28</v>
      </c>
      <c r="D21" s="21" t="n">
        <f aca="false">SUMIFS(Rótulos!$G$5:$G$212,Rótulos!$I$5:$I$212,$A21,Rótulos!$H$5:$H$212,$B21,Rótulos!$F$5:$F$212,"B2C")</f>
        <v>134</v>
      </c>
      <c r="E21" s="21" t="n">
        <f aca="false">SUMIFS(Rótulos!$G$5:$G$212,Rótulos!$I$5:$I$212,$A21,Rótulos!$H$5:$H$212,$B21,Rótulos!$F$5:$F$212,"B2B")</f>
        <v>597</v>
      </c>
      <c r="F21" s="21" t="n">
        <f aca="false">D21+E21</f>
        <v>731</v>
      </c>
    </row>
    <row r="22" customFormat="false" ht="15" hidden="false" customHeight="false" outlineLevel="0" collapsed="false">
      <c r="A22" s="21" t="s">
        <v>31</v>
      </c>
      <c r="B22" s="21" t="s">
        <v>24</v>
      </c>
      <c r="C22" s="21" t="n">
        <f aca="false">COUNTIFS('Por Fragrância'!$E$5:$E$192,$A22,'Por Fragrância'!$D$5:$D$192,$B22)</f>
        <v>60</v>
      </c>
      <c r="D22" s="21" t="n">
        <f aca="false">SUMIFS(Rótulos!$G$5:$G$212,Rótulos!$I$5:$I$212,$A22,Rótulos!$H$5:$H$212,$B22,Rótulos!$F$5:$F$212,"B2C")</f>
        <v>70</v>
      </c>
      <c r="E22" s="21" t="n">
        <f aca="false">SUMIFS(Rótulos!$G$5:$G$212,Rótulos!$I$5:$I$212,$A22,Rótulos!$H$5:$H$212,$B22,Rótulos!$F$5:$F$212,"B2B")</f>
        <v>1654</v>
      </c>
      <c r="F22" s="21" t="n">
        <f aca="false">D22+E22</f>
        <v>1724</v>
      </c>
    </row>
    <row r="23" customFormat="false" ht="15" hidden="false" customHeight="false" outlineLevel="0" collapsed="false">
      <c r="A23" s="21" t="s">
        <v>32</v>
      </c>
      <c r="B23" s="21" t="s">
        <v>24</v>
      </c>
      <c r="C23" s="21" t="n">
        <f aca="false">COUNTIFS('Por Fragrância'!$E$5:$E$192,$A23,'Por Fragrância'!$D$5:$D$192,$B23)</f>
        <v>18</v>
      </c>
      <c r="D23" s="21" t="n">
        <f aca="false">SUMIFS(Rótulos!$G$5:$G$212,Rótulos!$I$5:$I$212,$A23,Rótulos!$H$5:$H$212,$B23,Rótulos!$F$5:$F$212,"B2C")</f>
        <v>0</v>
      </c>
      <c r="E23" s="21" t="n">
        <f aca="false">SUMIFS(Rótulos!$G$5:$G$212,Rótulos!$I$5:$I$212,$A23,Rótulos!$H$5:$H$212,$B23,Rótulos!$F$5:$F$212,"B2B")</f>
        <v>197</v>
      </c>
      <c r="F23" s="21" t="n">
        <f aca="false">D23+E23</f>
        <v>197</v>
      </c>
    </row>
    <row r="24" customFormat="false" ht="15" hidden="false" customHeight="false" outlineLevel="0" collapsed="false">
      <c r="A24" s="21" t="s">
        <v>21</v>
      </c>
      <c r="B24" s="21" t="s">
        <v>16</v>
      </c>
      <c r="C24" s="21" t="n">
        <f aca="false">COUNTIFS('Por Fragrância'!$E$5:$E$192,$A24,'Por Fragrância'!$D$5:$D$192,$B24)</f>
        <v>17</v>
      </c>
      <c r="D24" s="21" t="n">
        <f aca="false">SUMIFS(Rótulos!$G$5:$G$212,Rótulos!$I$5:$I$212,$A24,Rótulos!$H$5:$H$212,$B24,Rótulos!$F$5:$F$212,"B2C")</f>
        <v>472</v>
      </c>
      <c r="E24" s="21" t="n">
        <f aca="false">SUMIFS(Rótulos!$G$5:$G$212,Rótulos!$I$5:$I$212,$A24,Rótulos!$H$5:$H$212,$B24,Rótulos!$F$5:$F$212,"B2B")</f>
        <v>0</v>
      </c>
      <c r="F24" s="21" t="n">
        <f aca="false">D24+E24</f>
        <v>472</v>
      </c>
    </row>
    <row r="25" customFormat="false" ht="15" hidden="false" customHeight="false" outlineLevel="0" collapsed="false">
      <c r="A25" s="21" t="s">
        <v>17</v>
      </c>
      <c r="B25" s="21" t="s">
        <v>16</v>
      </c>
      <c r="C25" s="21" t="n">
        <f aca="false">COUNTIFS('Por Fragrância'!$E$5:$E$192,$A25,'Por Fragrância'!$D$5:$D$192,$B25)</f>
        <v>24</v>
      </c>
      <c r="D25" s="21" t="n">
        <f aca="false">SUMIFS(Rótulos!$G$5:$G$212,Rótulos!$I$5:$I$212,$A25,Rótulos!$H$5:$H$212,$B25,Rótulos!$F$5:$F$212,"B2C")</f>
        <v>3400</v>
      </c>
      <c r="E25" s="21" t="n">
        <f aca="false">SUMIFS(Rótulos!$G$5:$G$212,Rótulos!$I$5:$I$212,$A25,Rótulos!$H$5:$H$212,$B25,Rótulos!$F$5:$F$212,"B2B")</f>
        <v>0</v>
      </c>
      <c r="F25" s="21" t="n">
        <f aca="false">D25+E25</f>
        <v>3400</v>
      </c>
    </row>
    <row r="26" customFormat="false" ht="15" hidden="false" customHeight="false" outlineLevel="0" collapsed="false">
      <c r="A26" s="21" t="s">
        <v>110</v>
      </c>
      <c r="B26" s="21" t="s">
        <v>24</v>
      </c>
      <c r="C26" s="21" t="n">
        <f aca="false">COUNTIFS('Por Fragrância'!$E$5:$E$192,$A26,'Por Fragrância'!$D$5:$D$192,$B26)</f>
        <v>10</v>
      </c>
      <c r="D26" s="21" t="n">
        <f aca="false">SUMIFS(Rótulos!$G$5:$G$212,Rótulos!$I$5:$I$212,"=",Rótulos!$H$5:$H$212,$B26,Rótulos!$F$5:$F$212,"B2C")</f>
        <v>0</v>
      </c>
      <c r="E26" s="21" t="n">
        <f aca="false">SUMIFS(Rótulos!$G$5:$G$212,Rótulos!$I$5:$I$212,"=",Rótulos!$H$5:$H$212,$B26,Rótulos!$F$5:$F$212,"B2B")</f>
        <v>141</v>
      </c>
      <c r="F26" s="21" t="n">
        <f aca="false">D26+E26</f>
        <v>141</v>
      </c>
    </row>
    <row r="27" customFormat="false" ht="15" hidden="false" customHeight="false" outlineLevel="0" collapsed="false">
      <c r="A27" s="22" t="s">
        <v>111</v>
      </c>
      <c r="B27" s="22"/>
      <c r="C27" s="22" t="n">
        <f aca="false">SUM(C20:C26)</f>
        <v>188</v>
      </c>
      <c r="D27" s="22" t="n">
        <f aca="false">SUM(D20:D26)</f>
        <v>4436</v>
      </c>
      <c r="E27" s="22" t="n">
        <f aca="false">SUM(E20:E26)</f>
        <v>3896</v>
      </c>
      <c r="F27" s="22" t="n">
        <f aca="false">SUM(F20:F26)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343</v>
      </c>
    </row>
    <row r="2" customFormat="false" ht="15" hidden="false" customHeight="false" outlineLevel="0" collapsed="false">
      <c r="A2" s="2" t="s">
        <v>344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345</v>
      </c>
      <c r="E4" s="3" t="s">
        <v>346</v>
      </c>
      <c r="F4" s="3" t="s">
        <v>347</v>
      </c>
    </row>
    <row r="5" customFormat="false" ht="15" hidden="false" customHeight="false" outlineLevel="0" collapsed="false">
      <c r="A5" s="4" t="s">
        <v>28</v>
      </c>
      <c r="B5" s="4" t="s">
        <v>29</v>
      </c>
      <c r="C5" s="4" t="n">
        <v>160</v>
      </c>
      <c r="D5" s="16" t="n">
        <v>0</v>
      </c>
      <c r="E5" s="16" t="n">
        <v>29</v>
      </c>
      <c r="F5" s="16" t="n">
        <f aca="false">E5-D5</f>
        <v>29</v>
      </c>
    </row>
    <row r="6" customFormat="false" ht="15" hidden="false" customHeight="false" outlineLevel="0" collapsed="false">
      <c r="A6" s="4" t="s">
        <v>28</v>
      </c>
      <c r="B6" s="4" t="s">
        <v>29</v>
      </c>
      <c r="C6" s="4" t="n">
        <v>400</v>
      </c>
      <c r="D6" s="16" t="n">
        <v>0</v>
      </c>
      <c r="E6" s="16" t="n">
        <v>55</v>
      </c>
      <c r="F6" s="16" t="n">
        <f aca="false">E6-D6</f>
        <v>55</v>
      </c>
    </row>
    <row r="7" customFormat="false" ht="15" hidden="false" customHeight="false" outlineLevel="0" collapsed="false">
      <c r="A7" s="4" t="s">
        <v>28</v>
      </c>
      <c r="B7" s="4" t="s">
        <v>29</v>
      </c>
      <c r="C7" s="4" t="n">
        <v>1000</v>
      </c>
      <c r="D7" s="16" t="n">
        <v>0</v>
      </c>
      <c r="E7" s="16" t="n">
        <v>21</v>
      </c>
      <c r="F7" s="16" t="n">
        <f aca="false">E7-D7</f>
        <v>21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5000</v>
      </c>
      <c r="D8" s="16" t="n">
        <v>0</v>
      </c>
      <c r="E8" s="16" t="n">
        <v>28</v>
      </c>
      <c r="F8" s="16" t="n">
        <f aca="false">E8-D8</f>
        <v>28</v>
      </c>
    </row>
    <row r="9" customFormat="false" ht="15" hidden="false" customHeight="false" outlineLevel="0" collapsed="false">
      <c r="A9" s="4" t="s">
        <v>28</v>
      </c>
      <c r="B9" s="4" t="s">
        <v>33</v>
      </c>
      <c r="C9" s="4" t="n">
        <v>100</v>
      </c>
      <c r="D9" s="16" t="n">
        <v>0</v>
      </c>
      <c r="E9" s="16" t="n">
        <v>19</v>
      </c>
      <c r="F9" s="16" t="n">
        <f aca="false">E9-D9</f>
        <v>19</v>
      </c>
    </row>
    <row r="10" customFormat="false" ht="15" hidden="false" customHeight="false" outlineLevel="0" collapsed="false">
      <c r="A10" s="4" t="s">
        <v>28</v>
      </c>
      <c r="B10" s="4" t="s">
        <v>33</v>
      </c>
      <c r="C10" s="4" t="n">
        <v>500</v>
      </c>
      <c r="D10" s="16" t="n">
        <v>0</v>
      </c>
      <c r="E10" s="16" t="n">
        <v>76</v>
      </c>
      <c r="F10" s="16" t="n">
        <f aca="false">E10-D10</f>
        <v>76</v>
      </c>
    </row>
    <row r="11" customFormat="false" ht="15" hidden="false" customHeight="false" outlineLevel="0" collapsed="false">
      <c r="A11" s="4" t="s">
        <v>37</v>
      </c>
      <c r="B11" s="4" t="s">
        <v>29</v>
      </c>
      <c r="C11" s="4" t="n">
        <v>400</v>
      </c>
      <c r="D11" s="16" t="n">
        <v>0</v>
      </c>
      <c r="E11" s="16" t="n">
        <v>4</v>
      </c>
      <c r="F11" s="16" t="n">
        <f aca="false">E11-D11</f>
        <v>4</v>
      </c>
    </row>
    <row r="12" customFormat="false" ht="15" hidden="false" customHeight="false" outlineLevel="0" collapsed="false">
      <c r="A12" s="4" t="s">
        <v>37</v>
      </c>
      <c r="B12" s="4" t="s">
        <v>29</v>
      </c>
      <c r="C12" s="4" t="n">
        <v>1000</v>
      </c>
      <c r="D12" s="16" t="n">
        <v>0</v>
      </c>
      <c r="E12" s="16" t="n">
        <v>15</v>
      </c>
      <c r="F12" s="16" t="n">
        <f aca="false">E12-D12</f>
        <v>15</v>
      </c>
    </row>
    <row r="13" customFormat="false" ht="15" hidden="false" customHeight="false" outlineLevel="0" collapsed="false">
      <c r="A13" s="4" t="s">
        <v>37</v>
      </c>
      <c r="B13" s="4" t="s">
        <v>29</v>
      </c>
      <c r="C13" s="4" t="n">
        <v>5000</v>
      </c>
      <c r="D13" s="16" t="n">
        <v>0</v>
      </c>
      <c r="E13" s="16" t="n">
        <v>8</v>
      </c>
      <c r="F13" s="16" t="n">
        <f aca="false">E13-D13</f>
        <v>8</v>
      </c>
    </row>
    <row r="14" customFormat="false" ht="15" hidden="false" customHeight="false" outlineLevel="0" collapsed="false">
      <c r="A14" s="4" t="s">
        <v>38</v>
      </c>
      <c r="B14" s="4" t="s">
        <v>29</v>
      </c>
      <c r="C14" s="4" t="n">
        <v>400</v>
      </c>
      <c r="D14" s="16" t="n">
        <v>1</v>
      </c>
      <c r="E14" s="16" t="n">
        <v>14</v>
      </c>
      <c r="F14" s="16" t="n">
        <f aca="false">E14-D14</f>
        <v>13</v>
      </c>
    </row>
    <row r="15" customFormat="false" ht="15" hidden="false" customHeight="false" outlineLevel="0" collapsed="false">
      <c r="A15" s="4" t="s">
        <v>38</v>
      </c>
      <c r="B15" s="4" t="s">
        <v>29</v>
      </c>
      <c r="C15" s="4" t="n">
        <v>1000</v>
      </c>
      <c r="D15" s="16" t="n">
        <v>1</v>
      </c>
      <c r="E15" s="16" t="n">
        <v>6</v>
      </c>
      <c r="F15" s="16" t="n">
        <f aca="false">E15-D15</f>
        <v>5</v>
      </c>
    </row>
    <row r="16" customFormat="false" ht="15" hidden="false" customHeight="false" outlineLevel="0" collapsed="false">
      <c r="A16" s="4" t="s">
        <v>38</v>
      </c>
      <c r="B16" s="4" t="s">
        <v>33</v>
      </c>
      <c r="C16" s="4" t="n">
        <v>100</v>
      </c>
      <c r="D16" s="16" t="n">
        <v>4</v>
      </c>
      <c r="E16" s="16" t="n">
        <v>37</v>
      </c>
      <c r="F16" s="16" t="n">
        <f aca="false">E16-D16</f>
        <v>33</v>
      </c>
    </row>
    <row r="17" customFormat="false" ht="15" hidden="false" customHeight="false" outlineLevel="0" collapsed="false">
      <c r="A17" s="4" t="s">
        <v>38</v>
      </c>
      <c r="B17" s="4" t="s">
        <v>33</v>
      </c>
      <c r="C17" s="4" t="n">
        <v>500</v>
      </c>
      <c r="D17" s="16" t="n">
        <v>2</v>
      </c>
      <c r="E17" s="16" t="n">
        <v>43</v>
      </c>
      <c r="F17" s="16" t="n">
        <f aca="false">E17-D17</f>
        <v>41</v>
      </c>
    </row>
    <row r="18" customFormat="false" ht="15" hidden="false" customHeight="false" outlineLevel="0" collapsed="false">
      <c r="A18" s="4" t="s">
        <v>38</v>
      </c>
      <c r="B18" s="4" t="s">
        <v>33</v>
      </c>
      <c r="C18" s="4" t="n">
        <v>1000</v>
      </c>
      <c r="D18" s="16" t="n">
        <v>0</v>
      </c>
      <c r="E18" s="16" t="n">
        <v>4</v>
      </c>
      <c r="F18" s="16" t="n">
        <f aca="false">E18-D18</f>
        <v>4</v>
      </c>
    </row>
    <row r="19" customFormat="false" ht="15" hidden="false" customHeight="false" outlineLevel="0" collapsed="false">
      <c r="A19" s="4" t="s">
        <v>38</v>
      </c>
      <c r="B19" s="4" t="s">
        <v>18</v>
      </c>
      <c r="C19" s="4" t="n">
        <v>250</v>
      </c>
      <c r="D19" s="16" t="n">
        <v>0</v>
      </c>
      <c r="E19" s="16" t="n">
        <v>36</v>
      </c>
      <c r="F19" s="16" t="n">
        <f aca="false">E19-D19</f>
        <v>36</v>
      </c>
    </row>
    <row r="20" customFormat="false" ht="15" hidden="false" customHeight="false" outlineLevel="0" collapsed="false">
      <c r="A20" s="4" t="s">
        <v>39</v>
      </c>
      <c r="B20" s="4" t="s">
        <v>33</v>
      </c>
      <c r="C20" s="4" t="n">
        <v>100</v>
      </c>
      <c r="D20" s="16" t="n">
        <v>0</v>
      </c>
      <c r="E20" s="16" t="n">
        <v>8</v>
      </c>
      <c r="F20" s="16" t="n">
        <f aca="false">E20-D20</f>
        <v>8</v>
      </c>
    </row>
    <row r="21" customFormat="false" ht="15" hidden="false" customHeight="false" outlineLevel="0" collapsed="false">
      <c r="A21" s="4" t="s">
        <v>40</v>
      </c>
      <c r="B21" s="4" t="s">
        <v>33</v>
      </c>
      <c r="C21" s="4" t="n">
        <v>500</v>
      </c>
      <c r="D21" s="16" t="n">
        <v>0</v>
      </c>
      <c r="E21" s="16" t="n">
        <v>2</v>
      </c>
      <c r="F21" s="16" t="n">
        <f aca="false">E21-D21</f>
        <v>2</v>
      </c>
    </row>
    <row r="22" customFormat="false" ht="15" hidden="false" customHeight="false" outlineLevel="0" collapsed="false">
      <c r="A22" s="4" t="s">
        <v>348</v>
      </c>
      <c r="B22" s="4" t="s">
        <v>33</v>
      </c>
      <c r="C22" s="4" t="n">
        <v>500</v>
      </c>
      <c r="D22" s="16" t="n">
        <v>3</v>
      </c>
      <c r="E22" s="16" t="n">
        <v>0</v>
      </c>
      <c r="F22" s="16" t="n">
        <f aca="false">E22-D22</f>
        <v>-3</v>
      </c>
    </row>
    <row r="23" customFormat="false" ht="15" hidden="false" customHeight="false" outlineLevel="0" collapsed="false">
      <c r="A23" s="4" t="s">
        <v>41</v>
      </c>
      <c r="B23" s="4" t="s">
        <v>12</v>
      </c>
      <c r="C23" s="4" t="n">
        <v>250</v>
      </c>
      <c r="D23" s="16" t="n">
        <v>0</v>
      </c>
      <c r="E23" s="16" t="n">
        <v>18</v>
      </c>
      <c r="F23" s="16" t="n">
        <f aca="false">E23-D23</f>
        <v>18</v>
      </c>
    </row>
    <row r="24" customFormat="false" ht="15" hidden="false" customHeight="false" outlineLevel="0" collapsed="false">
      <c r="A24" s="4" t="s">
        <v>41</v>
      </c>
      <c r="B24" s="4" t="s">
        <v>12</v>
      </c>
      <c r="C24" s="4" t="n">
        <v>500</v>
      </c>
      <c r="D24" s="16" t="n">
        <v>0</v>
      </c>
      <c r="E24" s="16" t="n">
        <v>40</v>
      </c>
      <c r="F24" s="16" t="n">
        <f aca="false">E24-D24</f>
        <v>40</v>
      </c>
    </row>
    <row r="25" customFormat="false" ht="15" hidden="false" customHeight="false" outlineLevel="0" collapsed="false">
      <c r="A25" s="4" t="s">
        <v>41</v>
      </c>
      <c r="B25" s="4" t="s">
        <v>33</v>
      </c>
      <c r="C25" s="4" t="n">
        <v>100</v>
      </c>
      <c r="D25" s="16" t="n">
        <v>5</v>
      </c>
      <c r="E25" s="16" t="n">
        <v>45</v>
      </c>
      <c r="F25" s="16" t="n">
        <f aca="false">E25-D25</f>
        <v>40</v>
      </c>
    </row>
    <row r="26" customFormat="false" ht="15" hidden="false" customHeight="false" outlineLevel="0" collapsed="false">
      <c r="A26" s="4" t="s">
        <v>41</v>
      </c>
      <c r="B26" s="4" t="s">
        <v>33</v>
      </c>
      <c r="C26" s="4" t="n">
        <v>500</v>
      </c>
      <c r="D26" s="16" t="n">
        <v>0</v>
      </c>
      <c r="E26" s="16" t="n">
        <v>4</v>
      </c>
      <c r="F26" s="16" t="n">
        <f aca="false">E26-D26</f>
        <v>4</v>
      </c>
    </row>
    <row r="27" customFormat="false" ht="15" hidden="false" customHeight="false" outlineLevel="0" collapsed="false">
      <c r="A27" s="4" t="s">
        <v>58</v>
      </c>
      <c r="B27" s="4" t="s">
        <v>29</v>
      </c>
      <c r="C27" s="4" t="n">
        <v>160</v>
      </c>
      <c r="D27" s="16" t="n">
        <v>0</v>
      </c>
      <c r="E27" s="16" t="n">
        <v>23</v>
      </c>
      <c r="F27" s="16" t="n">
        <f aca="false">E27-D27</f>
        <v>23</v>
      </c>
    </row>
    <row r="28" customFormat="false" ht="15" hidden="false" customHeight="false" outlineLevel="0" collapsed="false">
      <c r="A28" s="4" t="s">
        <v>58</v>
      </c>
      <c r="B28" s="4" t="s">
        <v>29</v>
      </c>
      <c r="C28" s="4" t="n">
        <v>400</v>
      </c>
      <c r="D28" s="16" t="n">
        <v>0</v>
      </c>
      <c r="E28" s="16" t="n">
        <v>57</v>
      </c>
      <c r="F28" s="16" t="n">
        <f aca="false">E28-D28</f>
        <v>57</v>
      </c>
    </row>
    <row r="29" customFormat="false" ht="15" hidden="false" customHeight="false" outlineLevel="0" collapsed="false">
      <c r="A29" s="4" t="s">
        <v>58</v>
      </c>
      <c r="B29" s="4" t="s">
        <v>33</v>
      </c>
      <c r="C29" s="4" t="n">
        <v>100</v>
      </c>
      <c r="D29" s="16" t="n">
        <v>0</v>
      </c>
      <c r="E29" s="16" t="n">
        <v>28</v>
      </c>
      <c r="F29" s="16" t="n">
        <f aca="false">E29-D29</f>
        <v>28</v>
      </c>
    </row>
    <row r="30" customFormat="false" ht="15" hidden="false" customHeight="false" outlineLevel="0" collapsed="false">
      <c r="A30" s="4" t="s">
        <v>42</v>
      </c>
      <c r="B30" s="4" t="s">
        <v>29</v>
      </c>
      <c r="C30" s="4" t="n">
        <v>400</v>
      </c>
      <c r="D30" s="16" t="n">
        <v>0</v>
      </c>
      <c r="E30" s="16" t="n">
        <v>6</v>
      </c>
      <c r="F30" s="16" t="n">
        <f aca="false">E30-D30</f>
        <v>6</v>
      </c>
    </row>
    <row r="31" customFormat="false" ht="15" hidden="false" customHeight="false" outlineLevel="0" collapsed="false">
      <c r="A31" s="4" t="s">
        <v>43</v>
      </c>
      <c r="B31" s="4" t="s">
        <v>33</v>
      </c>
      <c r="C31" s="4" t="n">
        <v>100</v>
      </c>
      <c r="D31" s="16" t="n">
        <v>2</v>
      </c>
      <c r="E31" s="16" t="n">
        <v>15</v>
      </c>
      <c r="F31" s="16" t="n">
        <f aca="false">E31-D31</f>
        <v>13</v>
      </c>
    </row>
    <row r="32" customFormat="false" ht="15" hidden="false" customHeight="false" outlineLevel="0" collapsed="false">
      <c r="A32" s="4" t="s">
        <v>43</v>
      </c>
      <c r="B32" s="4" t="s">
        <v>33</v>
      </c>
      <c r="C32" s="4" t="n">
        <v>500</v>
      </c>
      <c r="D32" s="16" t="n">
        <v>0</v>
      </c>
      <c r="E32" s="16" t="n">
        <v>1</v>
      </c>
      <c r="F32" s="16" t="n">
        <f aca="false">E32-D32</f>
        <v>1</v>
      </c>
    </row>
    <row r="33" customFormat="false" ht="15" hidden="false" customHeight="false" outlineLevel="0" collapsed="false">
      <c r="A33" s="4" t="s">
        <v>44</v>
      </c>
      <c r="B33" s="4" t="s">
        <v>12</v>
      </c>
      <c r="C33" s="4" t="n">
        <v>250</v>
      </c>
      <c r="D33" s="16" t="n">
        <v>3</v>
      </c>
      <c r="E33" s="16" t="n">
        <v>205</v>
      </c>
      <c r="F33" s="16" t="n">
        <f aca="false">E33-D33</f>
        <v>202</v>
      </c>
    </row>
    <row r="34" customFormat="false" ht="15" hidden="false" customHeight="false" outlineLevel="0" collapsed="false">
      <c r="A34" s="4" t="s">
        <v>44</v>
      </c>
      <c r="B34" s="4" t="s">
        <v>29</v>
      </c>
      <c r="C34" s="4" t="n">
        <v>1000</v>
      </c>
      <c r="D34" s="16" t="n">
        <v>4</v>
      </c>
      <c r="E34" s="16" t="n">
        <v>18</v>
      </c>
      <c r="F34" s="16" t="n">
        <f aca="false">E34-D34</f>
        <v>14</v>
      </c>
    </row>
    <row r="35" customFormat="false" ht="15" hidden="false" customHeight="false" outlineLevel="0" collapsed="false">
      <c r="A35" s="4" t="s">
        <v>44</v>
      </c>
      <c r="B35" s="4" t="s">
        <v>29</v>
      </c>
      <c r="C35" s="4" t="n">
        <v>5000</v>
      </c>
      <c r="D35" s="16" t="n">
        <v>0</v>
      </c>
      <c r="E35" s="16" t="n">
        <v>8</v>
      </c>
      <c r="F35" s="16" t="n">
        <f aca="false">E35-D35</f>
        <v>8</v>
      </c>
    </row>
    <row r="36" customFormat="false" ht="15" hidden="false" customHeight="false" outlineLevel="0" collapsed="false">
      <c r="A36" s="4" t="s">
        <v>45</v>
      </c>
      <c r="B36" s="4" t="s">
        <v>29</v>
      </c>
      <c r="C36" s="4" t="n">
        <v>400</v>
      </c>
      <c r="D36" s="16" t="n">
        <v>2</v>
      </c>
      <c r="E36" s="16" t="n">
        <v>24</v>
      </c>
      <c r="F36" s="16" t="n">
        <f aca="false">E36-D36</f>
        <v>22</v>
      </c>
    </row>
    <row r="37" customFormat="false" ht="15" hidden="false" customHeight="false" outlineLevel="0" collapsed="false">
      <c r="A37" s="4" t="s">
        <v>45</v>
      </c>
      <c r="B37" s="4" t="s">
        <v>29</v>
      </c>
      <c r="C37" s="4" t="n">
        <v>1000</v>
      </c>
      <c r="D37" s="16" t="n">
        <v>1</v>
      </c>
      <c r="E37" s="16" t="n">
        <v>8</v>
      </c>
      <c r="F37" s="16" t="n">
        <f aca="false">E37-D37</f>
        <v>7</v>
      </c>
    </row>
    <row r="38" customFormat="false" ht="15" hidden="false" customHeight="false" outlineLevel="0" collapsed="false">
      <c r="A38" s="4" t="s">
        <v>45</v>
      </c>
      <c r="B38" s="4" t="s">
        <v>33</v>
      </c>
      <c r="C38" s="4" t="n">
        <v>100</v>
      </c>
      <c r="D38" s="16" t="n">
        <v>0</v>
      </c>
      <c r="E38" s="16" t="n">
        <v>16</v>
      </c>
      <c r="F38" s="16" t="n">
        <f aca="false">E38-D38</f>
        <v>16</v>
      </c>
    </row>
    <row r="39" customFormat="false" ht="15" hidden="false" customHeight="false" outlineLevel="0" collapsed="false">
      <c r="A39" s="4" t="s">
        <v>45</v>
      </c>
      <c r="B39" s="4" t="s">
        <v>33</v>
      </c>
      <c r="C39" s="4" t="n">
        <v>500</v>
      </c>
      <c r="D39" s="16" t="n">
        <v>0</v>
      </c>
      <c r="E39" s="16" t="n">
        <v>13</v>
      </c>
      <c r="F39" s="16" t="n">
        <f aca="false">E39-D39</f>
        <v>13</v>
      </c>
    </row>
    <row r="40" customFormat="false" ht="15" hidden="false" customHeight="false" outlineLevel="0" collapsed="false">
      <c r="A40" s="4" t="s">
        <v>45</v>
      </c>
      <c r="B40" s="4" t="s">
        <v>18</v>
      </c>
      <c r="C40" s="4" t="n">
        <v>500</v>
      </c>
      <c r="D40" s="16" t="n">
        <v>0</v>
      </c>
      <c r="E40" s="16" t="n">
        <v>16</v>
      </c>
      <c r="F40" s="16" t="n">
        <f aca="false">E40-D40</f>
        <v>16</v>
      </c>
    </row>
    <row r="41" customFormat="false" ht="15" hidden="false" customHeight="false" outlineLevel="0" collapsed="false">
      <c r="A41" s="4" t="s">
        <v>46</v>
      </c>
      <c r="B41" s="4" t="s">
        <v>29</v>
      </c>
      <c r="C41" s="4" t="n">
        <v>400</v>
      </c>
      <c r="D41" s="16" t="n">
        <v>0</v>
      </c>
      <c r="E41" s="16" t="n">
        <v>18</v>
      </c>
      <c r="F41" s="16" t="n">
        <f aca="false">E41-D41</f>
        <v>18</v>
      </c>
    </row>
    <row r="42" customFormat="false" ht="15" hidden="false" customHeight="false" outlineLevel="0" collapsed="false">
      <c r="A42" s="4" t="s">
        <v>48</v>
      </c>
      <c r="B42" s="4" t="s">
        <v>29</v>
      </c>
      <c r="C42" s="4" t="n">
        <v>400</v>
      </c>
      <c r="D42" s="16" t="n">
        <v>3</v>
      </c>
      <c r="E42" s="16" t="n">
        <v>31</v>
      </c>
      <c r="F42" s="16" t="n">
        <f aca="false">E42-D42</f>
        <v>28</v>
      </c>
    </row>
    <row r="43" customFormat="false" ht="15" hidden="false" customHeight="false" outlineLevel="0" collapsed="false">
      <c r="A43" s="4" t="s">
        <v>48</v>
      </c>
      <c r="B43" s="4" t="s">
        <v>33</v>
      </c>
      <c r="C43" s="4" t="n">
        <v>100</v>
      </c>
      <c r="D43" s="16" t="n">
        <v>1</v>
      </c>
      <c r="E43" s="16" t="n">
        <v>3</v>
      </c>
      <c r="F43" s="16" t="n">
        <f aca="false">E43-D43</f>
        <v>2</v>
      </c>
    </row>
    <row r="44" customFormat="false" ht="15" hidden="false" customHeight="false" outlineLevel="0" collapsed="false">
      <c r="A44" s="4" t="s">
        <v>48</v>
      </c>
      <c r="B44" s="4" t="s">
        <v>33</v>
      </c>
      <c r="C44" s="4" t="n">
        <v>500</v>
      </c>
      <c r="D44" s="16" t="n">
        <v>13</v>
      </c>
      <c r="E44" s="16" t="n">
        <v>128</v>
      </c>
      <c r="F44" s="16" t="n">
        <f aca="false">E44-D44</f>
        <v>115</v>
      </c>
    </row>
    <row r="45" customFormat="false" ht="15" hidden="false" customHeight="false" outlineLevel="0" collapsed="false">
      <c r="A45" s="4" t="s">
        <v>48</v>
      </c>
      <c r="B45" s="4" t="s">
        <v>33</v>
      </c>
      <c r="C45" s="4" t="n">
        <v>1000</v>
      </c>
      <c r="D45" s="16" t="n">
        <v>1</v>
      </c>
      <c r="E45" s="16" t="n">
        <v>9</v>
      </c>
      <c r="F45" s="16" t="n">
        <f aca="false">E45-D45</f>
        <v>8</v>
      </c>
    </row>
    <row r="46" customFormat="false" ht="15" hidden="false" customHeight="false" outlineLevel="0" collapsed="false">
      <c r="A46" s="4" t="s">
        <v>48</v>
      </c>
      <c r="B46" s="4" t="s">
        <v>18</v>
      </c>
      <c r="C46" s="4" t="n">
        <v>250</v>
      </c>
      <c r="D46" s="16" t="n">
        <v>8</v>
      </c>
      <c r="E46" s="16" t="n">
        <v>80</v>
      </c>
      <c r="F46" s="16" t="n">
        <f aca="false">E46-D46</f>
        <v>72</v>
      </c>
    </row>
    <row r="47" customFormat="false" ht="15" hidden="false" customHeight="false" outlineLevel="0" collapsed="false">
      <c r="A47" s="4" t="s">
        <v>49</v>
      </c>
      <c r="B47" s="4" t="s">
        <v>18</v>
      </c>
      <c r="C47" s="4" t="n">
        <v>150</v>
      </c>
      <c r="D47" s="16" t="n">
        <v>0</v>
      </c>
      <c r="E47" s="16" t="n">
        <v>8</v>
      </c>
      <c r="F47" s="16" t="n">
        <f aca="false">E47-D47</f>
        <v>8</v>
      </c>
    </row>
    <row r="48" customFormat="false" ht="15" hidden="false" customHeight="false" outlineLevel="0" collapsed="false">
      <c r="A48" s="4" t="s">
        <v>50</v>
      </c>
      <c r="B48" s="4" t="s">
        <v>33</v>
      </c>
      <c r="C48" s="4" t="n">
        <v>500</v>
      </c>
      <c r="D48" s="16" t="n">
        <v>2</v>
      </c>
      <c r="E48" s="16" t="n">
        <v>19</v>
      </c>
      <c r="F48" s="16" t="n">
        <f aca="false">E48-D48</f>
        <v>17</v>
      </c>
    </row>
    <row r="49" customFormat="false" ht="15" hidden="false" customHeight="false" outlineLevel="0" collapsed="false">
      <c r="A49" s="4" t="s">
        <v>51</v>
      </c>
      <c r="B49" s="4" t="s">
        <v>33</v>
      </c>
      <c r="C49" s="4" t="n">
        <v>500</v>
      </c>
      <c r="D49" s="16" t="n">
        <v>0</v>
      </c>
      <c r="E49" s="16" t="n">
        <v>27</v>
      </c>
      <c r="F49" s="16" t="n">
        <f aca="false">E49-D49</f>
        <v>27</v>
      </c>
    </row>
    <row r="50" customFormat="false" ht="15" hidden="false" customHeight="false" outlineLevel="0" collapsed="false">
      <c r="A50" s="4" t="s">
        <v>59</v>
      </c>
      <c r="B50" s="4" t="s">
        <v>29</v>
      </c>
      <c r="C50" s="4" t="n">
        <v>400</v>
      </c>
      <c r="D50" s="16" t="n">
        <v>5</v>
      </c>
      <c r="E50" s="16" t="n">
        <v>46</v>
      </c>
      <c r="F50" s="16" t="n">
        <f aca="false">E50-D50</f>
        <v>41</v>
      </c>
    </row>
    <row r="51" customFormat="false" ht="15" hidden="false" customHeight="false" outlineLevel="0" collapsed="false">
      <c r="A51" s="4" t="s">
        <v>59</v>
      </c>
      <c r="B51" s="4" t="s">
        <v>33</v>
      </c>
      <c r="C51" s="4" t="n">
        <v>100</v>
      </c>
      <c r="D51" s="16" t="n">
        <v>10</v>
      </c>
      <c r="E51" s="16" t="n">
        <v>103</v>
      </c>
      <c r="F51" s="16" t="n">
        <f aca="false">E51-D51</f>
        <v>93</v>
      </c>
    </row>
    <row r="52" customFormat="false" ht="15" hidden="false" customHeight="false" outlineLevel="0" collapsed="false">
      <c r="A52" s="4" t="s">
        <v>349</v>
      </c>
      <c r="B52" s="4" t="s">
        <v>29</v>
      </c>
      <c r="C52" s="4" t="n">
        <v>1000</v>
      </c>
      <c r="D52" s="16" t="n">
        <v>4</v>
      </c>
      <c r="E52" s="16" t="n">
        <v>0</v>
      </c>
      <c r="F52" s="16" t="n">
        <f aca="false">E52-D52</f>
        <v>-4</v>
      </c>
    </row>
    <row r="53" customFormat="false" ht="15" hidden="false" customHeight="false" outlineLevel="0" collapsed="false">
      <c r="A53" s="4" t="s">
        <v>52</v>
      </c>
      <c r="B53" s="4" t="s">
        <v>29</v>
      </c>
      <c r="C53" s="4" t="n">
        <v>400</v>
      </c>
      <c r="D53" s="16" t="n">
        <v>0</v>
      </c>
      <c r="E53" s="16" t="n">
        <v>2</v>
      </c>
      <c r="F53" s="16" t="n">
        <f aca="false">E53-D53</f>
        <v>2</v>
      </c>
    </row>
    <row r="54" customFormat="false" ht="15" hidden="false" customHeight="false" outlineLevel="0" collapsed="false">
      <c r="A54" s="4" t="s">
        <v>54</v>
      </c>
      <c r="B54" s="4" t="s">
        <v>29</v>
      </c>
      <c r="C54" s="4" t="n">
        <v>160</v>
      </c>
      <c r="D54" s="16" t="n">
        <v>0</v>
      </c>
      <c r="E54" s="16" t="n">
        <v>3</v>
      </c>
      <c r="F54" s="16" t="n">
        <f aca="false">E54-D54</f>
        <v>3</v>
      </c>
    </row>
    <row r="55" customFormat="false" ht="15" hidden="false" customHeight="false" outlineLevel="0" collapsed="false">
      <c r="A55" s="4" t="s">
        <v>54</v>
      </c>
      <c r="B55" s="4" t="s">
        <v>29</v>
      </c>
      <c r="C55" s="4" t="n">
        <v>400</v>
      </c>
      <c r="D55" s="16" t="n">
        <v>0</v>
      </c>
      <c r="E55" s="16" t="n">
        <v>16</v>
      </c>
      <c r="F55" s="16" t="n">
        <f aca="false">E55-D55</f>
        <v>16</v>
      </c>
    </row>
    <row r="56" customFormat="false" ht="15" hidden="false" customHeight="false" outlineLevel="0" collapsed="false">
      <c r="A56" s="4" t="s">
        <v>54</v>
      </c>
      <c r="B56" s="4" t="s">
        <v>33</v>
      </c>
      <c r="C56" s="4" t="n">
        <v>100</v>
      </c>
      <c r="D56" s="16" t="n">
        <v>0</v>
      </c>
      <c r="E56" s="16" t="n">
        <v>10</v>
      </c>
      <c r="F56" s="16" t="n">
        <f aca="false">E56-D56</f>
        <v>10</v>
      </c>
    </row>
    <row r="57" customFormat="false" ht="15" hidden="false" customHeight="false" outlineLevel="0" collapsed="false">
      <c r="A57" s="4" t="s">
        <v>54</v>
      </c>
      <c r="B57" s="4" t="s">
        <v>33</v>
      </c>
      <c r="C57" s="4" t="n">
        <v>500</v>
      </c>
      <c r="D57" s="16" t="n">
        <v>0</v>
      </c>
      <c r="E57" s="16" t="n">
        <v>43</v>
      </c>
      <c r="F57" s="16" t="n">
        <f aca="false">E57-D57</f>
        <v>43</v>
      </c>
    </row>
    <row r="58" customFormat="false" ht="15" hidden="false" customHeight="false" outlineLevel="0" collapsed="false">
      <c r="A58" s="4" t="s">
        <v>54</v>
      </c>
      <c r="B58" s="4" t="s">
        <v>18</v>
      </c>
      <c r="C58" s="4" t="n">
        <v>150</v>
      </c>
      <c r="D58" s="16" t="n">
        <v>0</v>
      </c>
      <c r="E58" s="16" t="n">
        <v>4</v>
      </c>
      <c r="F58" s="16" t="n">
        <f aca="false">E58-D58</f>
        <v>4</v>
      </c>
    </row>
    <row r="59" customFormat="false" ht="15" hidden="false" customHeight="false" outlineLevel="0" collapsed="false">
      <c r="A59" s="4" t="s">
        <v>55</v>
      </c>
      <c r="B59" s="4" t="s">
        <v>33</v>
      </c>
      <c r="C59" s="4" t="n">
        <v>500</v>
      </c>
      <c r="D59" s="16" t="n">
        <v>0</v>
      </c>
      <c r="E59" s="16" t="n">
        <v>36</v>
      </c>
      <c r="F59" s="16" t="n">
        <f aca="false">E59-D59</f>
        <v>36</v>
      </c>
    </row>
    <row r="60" customFormat="false" ht="15" hidden="false" customHeight="false" outlineLevel="0" collapsed="false">
      <c r="A60" s="4" t="s">
        <v>350</v>
      </c>
      <c r="B60" s="4" t="s">
        <v>351</v>
      </c>
      <c r="C60" s="4" t="n">
        <v>500</v>
      </c>
      <c r="D60" s="16" t="n">
        <v>4</v>
      </c>
      <c r="E60" s="16" t="n">
        <v>0</v>
      </c>
      <c r="F60" s="16" t="n">
        <f aca="false">E60-D60</f>
        <v>-4</v>
      </c>
    </row>
    <row r="61" customFormat="false" ht="15" hidden="false" customHeight="false" outlineLevel="0" collapsed="false">
      <c r="A61" s="4" t="s">
        <v>56</v>
      </c>
      <c r="B61" s="4" t="s">
        <v>12</v>
      </c>
      <c r="C61" s="4" t="n">
        <v>150</v>
      </c>
      <c r="D61" s="16" t="n">
        <v>3</v>
      </c>
      <c r="E61" s="16" t="n">
        <v>25</v>
      </c>
      <c r="F61" s="16" t="n">
        <f aca="false">E61-D61</f>
        <v>22</v>
      </c>
    </row>
    <row r="62" customFormat="false" ht="15" hidden="false" customHeight="false" outlineLevel="0" collapsed="false">
      <c r="A62" s="4" t="s">
        <v>56</v>
      </c>
      <c r="B62" s="4" t="s">
        <v>12</v>
      </c>
      <c r="C62" s="4" t="n">
        <v>250</v>
      </c>
      <c r="D62" s="16" t="n">
        <v>0</v>
      </c>
      <c r="E62" s="16" t="n">
        <v>90</v>
      </c>
      <c r="F62" s="16" t="n">
        <f aca="false">E62-D62</f>
        <v>90</v>
      </c>
    </row>
    <row r="63" customFormat="false" ht="15" hidden="false" customHeight="false" outlineLevel="0" collapsed="false">
      <c r="A63" s="4" t="s">
        <v>56</v>
      </c>
      <c r="B63" s="4" t="s">
        <v>29</v>
      </c>
      <c r="C63" s="4" t="n">
        <v>160</v>
      </c>
      <c r="D63" s="16" t="n">
        <v>0</v>
      </c>
      <c r="E63" s="16" t="n">
        <v>7</v>
      </c>
      <c r="F63" s="16" t="n">
        <f aca="false">E63-D63</f>
        <v>7</v>
      </c>
    </row>
    <row r="64" customFormat="false" ht="15" hidden="false" customHeight="false" outlineLevel="0" collapsed="false">
      <c r="A64" s="4" t="s">
        <v>56</v>
      </c>
      <c r="B64" s="4" t="s">
        <v>29</v>
      </c>
      <c r="C64" s="4" t="n">
        <v>400</v>
      </c>
      <c r="D64" s="16" t="n">
        <v>2</v>
      </c>
      <c r="E64" s="16" t="n">
        <v>13</v>
      </c>
      <c r="F64" s="16" t="n">
        <f aca="false">E64-D64</f>
        <v>11</v>
      </c>
    </row>
    <row r="65" customFormat="false" ht="15" hidden="false" customHeight="false" outlineLevel="0" collapsed="false">
      <c r="A65" s="4" t="s">
        <v>56</v>
      </c>
      <c r="B65" s="4" t="s">
        <v>33</v>
      </c>
      <c r="C65" s="4" t="n">
        <v>100</v>
      </c>
      <c r="D65" s="16" t="n">
        <v>1</v>
      </c>
      <c r="E65" s="16" t="n">
        <v>10</v>
      </c>
      <c r="F65" s="16" t="n">
        <f aca="false">E65-D65</f>
        <v>9</v>
      </c>
    </row>
    <row r="66" customFormat="false" ht="15" hidden="false" customHeight="false" outlineLevel="0" collapsed="false">
      <c r="A66" s="4" t="s">
        <v>60</v>
      </c>
      <c r="B66" s="4" t="s">
        <v>29</v>
      </c>
      <c r="C66" s="4" t="n">
        <v>400</v>
      </c>
      <c r="D66" s="16" t="n">
        <v>8</v>
      </c>
      <c r="E66" s="16" t="n">
        <v>68</v>
      </c>
      <c r="F66" s="16" t="n">
        <f aca="false">E66-D66</f>
        <v>60</v>
      </c>
    </row>
    <row r="67" customFormat="false" ht="15" hidden="false" customHeight="false" outlineLevel="0" collapsed="false">
      <c r="A67" s="4" t="s">
        <v>60</v>
      </c>
      <c r="B67" s="4" t="s">
        <v>29</v>
      </c>
      <c r="C67" s="4" t="n">
        <v>1000</v>
      </c>
      <c r="D67" s="16" t="n">
        <v>2</v>
      </c>
      <c r="E67" s="16" t="n">
        <v>18</v>
      </c>
      <c r="F67" s="16" t="n">
        <f aca="false">E67-D67</f>
        <v>16</v>
      </c>
    </row>
    <row r="68" customFormat="false" ht="15" hidden="false" customHeight="false" outlineLevel="0" collapsed="false">
      <c r="A68" s="4" t="s">
        <v>60</v>
      </c>
      <c r="B68" s="4" t="s">
        <v>33</v>
      </c>
      <c r="C68" s="4" t="n">
        <v>100</v>
      </c>
      <c r="D68" s="16" t="n">
        <v>28</v>
      </c>
      <c r="E68" s="16" t="n">
        <v>236</v>
      </c>
      <c r="F68" s="16" t="n">
        <f aca="false">E68-D68</f>
        <v>208</v>
      </c>
    </row>
    <row r="69" customFormat="false" ht="15" hidden="false" customHeight="false" outlineLevel="0" collapsed="false">
      <c r="A69" s="4" t="s">
        <v>60</v>
      </c>
      <c r="B69" s="4" t="s">
        <v>33</v>
      </c>
      <c r="C69" s="4" t="n">
        <v>500</v>
      </c>
      <c r="D69" s="16" t="n">
        <v>0</v>
      </c>
      <c r="E69" s="16" t="n">
        <v>2</v>
      </c>
      <c r="F69" s="16" t="n">
        <f aca="false">E69-D69</f>
        <v>2</v>
      </c>
    </row>
    <row r="70" customFormat="false" ht="15" hidden="false" customHeight="false" outlineLevel="0" collapsed="false">
      <c r="A70" s="4" t="s">
        <v>60</v>
      </c>
      <c r="B70" s="4" t="s">
        <v>33</v>
      </c>
      <c r="C70" s="4" t="n">
        <v>1000</v>
      </c>
      <c r="D70" s="16" t="n">
        <v>2</v>
      </c>
      <c r="E70" s="16" t="n">
        <v>18</v>
      </c>
      <c r="F70" s="16" t="n">
        <f aca="false">E70-D70</f>
        <v>16</v>
      </c>
    </row>
    <row r="71" customFormat="false" ht="15" hidden="false" customHeight="false" outlineLevel="0" collapsed="false">
      <c r="A71" s="4" t="s">
        <v>57</v>
      </c>
      <c r="B71" s="4" t="s">
        <v>33</v>
      </c>
      <c r="C71" s="4" t="n">
        <v>100</v>
      </c>
      <c r="D71" s="16" t="n">
        <v>34</v>
      </c>
      <c r="E71" s="16" t="n">
        <v>649</v>
      </c>
      <c r="F71" s="16" t="n">
        <f aca="false">E71-D71</f>
        <v>615</v>
      </c>
    </row>
    <row r="72" customFormat="false" ht="15" hidden="false" customHeight="false" outlineLevel="0" collapsed="false">
      <c r="A72" s="4" t="s">
        <v>61</v>
      </c>
      <c r="B72" s="4" t="s">
        <v>33</v>
      </c>
      <c r="C72" s="4" t="n">
        <v>500</v>
      </c>
      <c r="D72" s="16" t="n">
        <v>0</v>
      </c>
      <c r="E72" s="16" t="n">
        <v>18</v>
      </c>
      <c r="F72" s="16" t="n">
        <f aca="false">E72-D72</f>
        <v>18</v>
      </c>
    </row>
    <row r="73" customFormat="false" ht="15" hidden="false" customHeight="false" outlineLevel="0" collapsed="false">
      <c r="A73" s="4" t="s">
        <v>66</v>
      </c>
      <c r="B73" s="4" t="s">
        <v>29</v>
      </c>
      <c r="C73" s="4" t="n">
        <v>1000</v>
      </c>
      <c r="D73" s="16" t="n">
        <v>0</v>
      </c>
      <c r="E73" s="16" t="n">
        <v>22</v>
      </c>
      <c r="F73" s="16" t="n">
        <f aca="false">E73-D73</f>
        <v>22</v>
      </c>
    </row>
    <row r="74" customFormat="false" ht="15" hidden="false" customHeight="false" outlineLevel="0" collapsed="false">
      <c r="A74" s="4" t="s">
        <v>66</v>
      </c>
      <c r="B74" s="4" t="s">
        <v>33</v>
      </c>
      <c r="C74" s="4" t="n">
        <v>500</v>
      </c>
      <c r="D74" s="16" t="n">
        <v>0</v>
      </c>
      <c r="E74" s="16" t="n">
        <v>6</v>
      </c>
      <c r="F74" s="16" t="n">
        <f aca="false">E74-D74</f>
        <v>6</v>
      </c>
    </row>
    <row r="75" customFormat="false" ht="15" hidden="false" customHeight="false" outlineLevel="0" collapsed="false">
      <c r="A75" s="4" t="s">
        <v>67</v>
      </c>
      <c r="B75" s="4" t="s">
        <v>29</v>
      </c>
      <c r="C75" s="4" t="n">
        <v>400</v>
      </c>
      <c r="D75" s="16" t="n">
        <v>0</v>
      </c>
      <c r="E75" s="16" t="n">
        <v>5</v>
      </c>
      <c r="F75" s="16" t="n">
        <f aca="false">E75-D75</f>
        <v>5</v>
      </c>
    </row>
    <row r="76" customFormat="false" ht="15" hidden="false" customHeight="false" outlineLevel="0" collapsed="false">
      <c r="A76" s="4" t="s">
        <v>67</v>
      </c>
      <c r="B76" s="4" t="s">
        <v>33</v>
      </c>
      <c r="C76" s="4" t="n">
        <v>500</v>
      </c>
      <c r="D76" s="16" t="n">
        <v>0</v>
      </c>
      <c r="E76" s="16" t="n">
        <v>6</v>
      </c>
      <c r="F76" s="16" t="n">
        <f aca="false">E76-D76</f>
        <v>6</v>
      </c>
    </row>
    <row r="77" customFormat="false" ht="15" hidden="false" customHeight="false" outlineLevel="0" collapsed="false">
      <c r="A77" s="4" t="s">
        <v>68</v>
      </c>
      <c r="B77" s="4" t="s">
        <v>18</v>
      </c>
      <c r="C77" s="4" t="n">
        <v>150</v>
      </c>
      <c r="D77" s="16" t="n">
        <v>0</v>
      </c>
      <c r="E77" s="16" t="n">
        <v>9</v>
      </c>
      <c r="F77" s="16" t="n">
        <f aca="false">E77-D77</f>
        <v>9</v>
      </c>
    </row>
    <row r="78" customFormat="false" ht="15" hidden="false" customHeight="false" outlineLevel="0" collapsed="false">
      <c r="A78" s="4" t="s">
        <v>69</v>
      </c>
      <c r="B78" s="4" t="s">
        <v>33</v>
      </c>
      <c r="C78" s="4" t="n">
        <v>100</v>
      </c>
      <c r="D78" s="16" t="n">
        <v>0</v>
      </c>
      <c r="E78" s="16" t="n">
        <v>2</v>
      </c>
      <c r="F78" s="16" t="n">
        <f aca="false">E78-D78</f>
        <v>2</v>
      </c>
    </row>
    <row r="79" customFormat="false" ht="15" hidden="false" customHeight="false" outlineLevel="0" collapsed="false">
      <c r="A79" s="4" t="s">
        <v>69</v>
      </c>
      <c r="B79" s="4" t="s">
        <v>18</v>
      </c>
      <c r="C79" s="4" t="n">
        <v>150</v>
      </c>
      <c r="D79" s="16" t="n">
        <v>0</v>
      </c>
      <c r="E79" s="16" t="n">
        <v>8</v>
      </c>
      <c r="F79" s="16" t="n">
        <f aca="false">E79-D79</f>
        <v>8</v>
      </c>
    </row>
    <row r="80" customFormat="false" ht="15" hidden="false" customHeight="false" outlineLevel="0" collapsed="false">
      <c r="A80" s="4" t="s">
        <v>71</v>
      </c>
      <c r="B80" s="4" t="s">
        <v>29</v>
      </c>
      <c r="C80" s="4" t="n">
        <v>400</v>
      </c>
      <c r="D80" s="16" t="n">
        <v>1</v>
      </c>
      <c r="E80" s="16" t="n">
        <v>9</v>
      </c>
      <c r="F80" s="16" t="n">
        <f aca="false">E80-D80</f>
        <v>8</v>
      </c>
    </row>
    <row r="81" customFormat="false" ht="15" hidden="false" customHeight="false" outlineLevel="0" collapsed="false">
      <c r="A81" s="4" t="s">
        <v>72</v>
      </c>
      <c r="B81" s="4" t="s">
        <v>29</v>
      </c>
      <c r="C81" s="4" t="n">
        <v>400</v>
      </c>
      <c r="D81" s="16" t="n">
        <v>0</v>
      </c>
      <c r="E81" s="16" t="n">
        <v>26</v>
      </c>
      <c r="F81" s="16" t="n">
        <f aca="false">E81-D81</f>
        <v>26</v>
      </c>
    </row>
    <row r="82" customFormat="false" ht="15" hidden="false" customHeight="false" outlineLevel="0" collapsed="false">
      <c r="A82" s="4" t="s">
        <v>72</v>
      </c>
      <c r="B82" s="4" t="s">
        <v>33</v>
      </c>
      <c r="C82" s="4" t="n">
        <v>100</v>
      </c>
      <c r="D82" s="16" t="n">
        <v>1</v>
      </c>
      <c r="E82" s="16" t="n">
        <v>3</v>
      </c>
      <c r="F82" s="16" t="n">
        <f aca="false">E82-D82</f>
        <v>2</v>
      </c>
    </row>
    <row r="83" customFormat="false" ht="15" hidden="false" customHeight="false" outlineLevel="0" collapsed="false">
      <c r="A83" s="4" t="s">
        <v>72</v>
      </c>
      <c r="B83" s="4" t="s">
        <v>33</v>
      </c>
      <c r="C83" s="4" t="n">
        <v>500</v>
      </c>
      <c r="D83" s="16" t="n">
        <v>2</v>
      </c>
      <c r="E83" s="16" t="n">
        <v>23</v>
      </c>
      <c r="F83" s="16" t="n">
        <f aca="false">E83-D83</f>
        <v>21</v>
      </c>
    </row>
    <row r="84" customFormat="false" ht="15" hidden="false" customHeight="false" outlineLevel="0" collapsed="false">
      <c r="A84" s="4" t="s">
        <v>72</v>
      </c>
      <c r="B84" s="4" t="s">
        <v>33</v>
      </c>
      <c r="C84" s="4" t="n">
        <v>1000</v>
      </c>
      <c r="D84" s="16" t="n">
        <v>1</v>
      </c>
      <c r="E84" s="16" t="n">
        <v>3</v>
      </c>
      <c r="F84" s="16" t="n">
        <f aca="false">E84-D84</f>
        <v>2</v>
      </c>
    </row>
    <row r="85" customFormat="false" ht="15" hidden="false" customHeight="false" outlineLevel="0" collapsed="false">
      <c r="A85" s="4" t="s">
        <v>72</v>
      </c>
      <c r="B85" s="4" t="s">
        <v>18</v>
      </c>
      <c r="C85" s="4" t="n">
        <v>250</v>
      </c>
      <c r="D85" s="16" t="n">
        <v>2</v>
      </c>
      <c r="E85" s="16" t="n">
        <v>6</v>
      </c>
      <c r="F85" s="16" t="n">
        <f aca="false">E85-D85</f>
        <v>4</v>
      </c>
    </row>
    <row r="86" customFormat="false" ht="15" hidden="false" customHeight="false" outlineLevel="0" collapsed="false">
      <c r="A86" s="4" t="s">
        <v>62</v>
      </c>
      <c r="B86" s="4" t="s">
        <v>29</v>
      </c>
      <c r="C86" s="4" t="n">
        <v>400</v>
      </c>
      <c r="D86" s="16" t="n">
        <v>0</v>
      </c>
      <c r="E86" s="16" t="n">
        <v>6</v>
      </c>
      <c r="F86" s="16" t="n">
        <f aca="false">E86-D86</f>
        <v>6</v>
      </c>
    </row>
    <row r="87" customFormat="false" ht="15" hidden="false" customHeight="false" outlineLevel="0" collapsed="false">
      <c r="A87" s="4" t="s">
        <v>62</v>
      </c>
      <c r="B87" s="4" t="s">
        <v>29</v>
      </c>
      <c r="C87" s="4" t="n">
        <v>1000</v>
      </c>
      <c r="D87" s="16" t="n">
        <v>1</v>
      </c>
      <c r="E87" s="16" t="n">
        <v>2</v>
      </c>
      <c r="F87" s="16" t="n">
        <f aca="false">E87-D87</f>
        <v>1</v>
      </c>
    </row>
    <row r="88" customFormat="false" ht="15" hidden="false" customHeight="false" outlineLevel="0" collapsed="false">
      <c r="A88" s="4" t="s">
        <v>62</v>
      </c>
      <c r="B88" s="4" t="s">
        <v>33</v>
      </c>
      <c r="C88" s="4" t="n">
        <v>500</v>
      </c>
      <c r="D88" s="16" t="n">
        <v>0</v>
      </c>
      <c r="E88" s="16" t="n">
        <v>23</v>
      </c>
      <c r="F88" s="16" t="n">
        <f aca="false">E88-D88</f>
        <v>23</v>
      </c>
    </row>
    <row r="89" customFormat="false" ht="15" hidden="false" customHeight="false" outlineLevel="0" collapsed="false">
      <c r="A89" s="4" t="s">
        <v>73</v>
      </c>
      <c r="B89" s="4" t="s">
        <v>12</v>
      </c>
      <c r="C89" s="4" t="n">
        <v>150</v>
      </c>
      <c r="D89" s="16" t="n">
        <v>1</v>
      </c>
      <c r="E89" s="16" t="n">
        <v>0</v>
      </c>
      <c r="F89" s="16" t="n">
        <f aca="false">E89-D89</f>
        <v>-1</v>
      </c>
    </row>
    <row r="90" customFormat="false" ht="15" hidden="false" customHeight="false" outlineLevel="0" collapsed="false">
      <c r="A90" s="4" t="s">
        <v>73</v>
      </c>
      <c r="B90" s="4" t="s">
        <v>12</v>
      </c>
      <c r="C90" s="4" t="n">
        <v>250</v>
      </c>
      <c r="D90" s="16" t="n">
        <v>7</v>
      </c>
      <c r="E90" s="16" t="n">
        <v>0</v>
      </c>
      <c r="F90" s="16" t="n">
        <f aca="false">E90-D90</f>
        <v>-7</v>
      </c>
    </row>
    <row r="91" customFormat="false" ht="15" hidden="false" customHeight="false" outlineLevel="0" collapsed="false">
      <c r="A91" s="4" t="s">
        <v>73</v>
      </c>
      <c r="B91" s="4" t="s">
        <v>29</v>
      </c>
      <c r="C91" s="4" t="n">
        <v>400</v>
      </c>
      <c r="D91" s="16" t="n">
        <v>2</v>
      </c>
      <c r="E91" s="16" t="n">
        <v>0</v>
      </c>
      <c r="F91" s="16" t="n">
        <f aca="false">E91-D91</f>
        <v>-2</v>
      </c>
    </row>
    <row r="92" customFormat="false" ht="15" hidden="false" customHeight="false" outlineLevel="0" collapsed="false">
      <c r="A92" s="4" t="s">
        <v>73</v>
      </c>
      <c r="B92" s="4" t="s">
        <v>33</v>
      </c>
      <c r="C92" s="4" t="n">
        <v>100</v>
      </c>
      <c r="D92" s="16" t="n">
        <v>1</v>
      </c>
      <c r="E92" s="16" t="n">
        <v>0</v>
      </c>
      <c r="F92" s="16" t="n">
        <f aca="false">E92-D92</f>
        <v>-1</v>
      </c>
    </row>
    <row r="93" customFormat="false" ht="15" hidden="false" customHeight="false" outlineLevel="0" collapsed="false">
      <c r="A93" s="4" t="s">
        <v>74</v>
      </c>
      <c r="B93" s="4" t="s">
        <v>12</v>
      </c>
      <c r="C93" s="4" t="n">
        <v>150</v>
      </c>
      <c r="D93" s="16" t="n">
        <v>0</v>
      </c>
      <c r="E93" s="16" t="n">
        <v>9</v>
      </c>
      <c r="F93" s="16" t="n">
        <f aca="false">E93-D93</f>
        <v>9</v>
      </c>
    </row>
    <row r="94" customFormat="false" ht="15" hidden="false" customHeight="false" outlineLevel="0" collapsed="false">
      <c r="A94" s="4" t="s">
        <v>74</v>
      </c>
      <c r="B94" s="4" t="s">
        <v>12</v>
      </c>
      <c r="C94" s="4" t="n">
        <v>250</v>
      </c>
      <c r="D94" s="16" t="n">
        <v>0</v>
      </c>
      <c r="E94" s="16" t="n">
        <v>99</v>
      </c>
      <c r="F94" s="16" t="n">
        <f aca="false">E94-D94</f>
        <v>99</v>
      </c>
    </row>
    <row r="95" customFormat="false" ht="15" hidden="false" customHeight="false" outlineLevel="0" collapsed="false">
      <c r="A95" s="4" t="s">
        <v>74</v>
      </c>
      <c r="B95" s="4" t="s">
        <v>29</v>
      </c>
      <c r="C95" s="4" t="n">
        <v>160</v>
      </c>
      <c r="D95" s="16" t="n">
        <v>0</v>
      </c>
      <c r="E95" s="16" t="n">
        <v>9</v>
      </c>
      <c r="F95" s="16" t="n">
        <f aca="false">E95-D95</f>
        <v>9</v>
      </c>
    </row>
    <row r="96" customFormat="false" ht="15" hidden="false" customHeight="false" outlineLevel="0" collapsed="false">
      <c r="A96" s="4" t="s">
        <v>74</v>
      </c>
      <c r="B96" s="4" t="s">
        <v>29</v>
      </c>
      <c r="C96" s="4" t="n">
        <v>400</v>
      </c>
      <c r="D96" s="16" t="n">
        <v>0</v>
      </c>
      <c r="E96" s="16" t="n">
        <v>18</v>
      </c>
      <c r="F96" s="16" t="n">
        <f aca="false">E96-D96</f>
        <v>18</v>
      </c>
    </row>
    <row r="97" customFormat="false" ht="15" hidden="false" customHeight="false" outlineLevel="0" collapsed="false">
      <c r="A97" s="4" t="s">
        <v>74</v>
      </c>
      <c r="B97" s="4" t="s">
        <v>33</v>
      </c>
      <c r="C97" s="4" t="n">
        <v>100</v>
      </c>
      <c r="D97" s="16" t="n">
        <v>0</v>
      </c>
      <c r="E97" s="16" t="n">
        <v>14</v>
      </c>
      <c r="F97" s="16" t="n">
        <f aca="false">E97-D97</f>
        <v>14</v>
      </c>
    </row>
    <row r="98" customFormat="false" ht="15" hidden="false" customHeight="false" outlineLevel="0" collapsed="false">
      <c r="A98" s="4" t="s">
        <v>74</v>
      </c>
      <c r="B98" s="4" t="s">
        <v>33</v>
      </c>
      <c r="C98" s="4" t="n">
        <v>500</v>
      </c>
      <c r="D98" s="16" t="n">
        <v>0</v>
      </c>
      <c r="E98" s="16" t="n">
        <v>9</v>
      </c>
      <c r="F98" s="16" t="n">
        <f aca="false">E98-D98</f>
        <v>9</v>
      </c>
    </row>
    <row r="99" customFormat="false" ht="15" hidden="false" customHeight="false" outlineLevel="0" collapsed="false">
      <c r="A99" s="4" t="s">
        <v>63</v>
      </c>
      <c r="B99" s="4" t="s">
        <v>33</v>
      </c>
      <c r="C99" s="4" t="n">
        <v>100</v>
      </c>
      <c r="D99" s="16" t="n">
        <v>0</v>
      </c>
      <c r="E99" s="16" t="n">
        <v>27</v>
      </c>
      <c r="F99" s="16" t="n">
        <f aca="false">E99-D99</f>
        <v>27</v>
      </c>
    </row>
    <row r="100" customFormat="false" ht="15" hidden="false" customHeight="false" outlineLevel="0" collapsed="false">
      <c r="A100" s="4" t="s">
        <v>63</v>
      </c>
      <c r="B100" s="4" t="s">
        <v>33</v>
      </c>
      <c r="C100" s="4" t="n">
        <v>500</v>
      </c>
      <c r="D100" s="16" t="n">
        <v>0</v>
      </c>
      <c r="E100" s="16" t="n">
        <v>379</v>
      </c>
      <c r="F100" s="16" t="n">
        <f aca="false">E100-D100</f>
        <v>379</v>
      </c>
    </row>
    <row r="101" customFormat="false" ht="15" hidden="false" customHeight="false" outlineLevel="0" collapsed="false">
      <c r="A101" s="4" t="s">
        <v>64</v>
      </c>
      <c r="B101" s="4" t="s">
        <v>29</v>
      </c>
      <c r="C101" s="4" t="n">
        <v>400</v>
      </c>
      <c r="D101" s="16" t="n">
        <v>6</v>
      </c>
      <c r="E101" s="16" t="n">
        <v>6</v>
      </c>
      <c r="F101" s="16" t="n">
        <f aca="false">E101-D101</f>
        <v>0</v>
      </c>
    </row>
    <row r="102" customFormat="false" ht="15" hidden="false" customHeight="false" outlineLevel="0" collapsed="false">
      <c r="A102" s="4" t="s">
        <v>64</v>
      </c>
      <c r="B102" s="4" t="s">
        <v>33</v>
      </c>
      <c r="C102" s="4" t="n">
        <v>100</v>
      </c>
      <c r="D102" s="16" t="n">
        <v>1</v>
      </c>
      <c r="E102" s="16" t="n">
        <v>7</v>
      </c>
      <c r="F102" s="16" t="n">
        <f aca="false">E102-D102</f>
        <v>6</v>
      </c>
    </row>
    <row r="103" customFormat="false" ht="15" hidden="false" customHeight="false" outlineLevel="0" collapsed="false">
      <c r="A103" s="4" t="s">
        <v>64</v>
      </c>
      <c r="B103" s="4" t="s">
        <v>33</v>
      </c>
      <c r="C103" s="4" t="n">
        <v>500</v>
      </c>
      <c r="D103" s="16" t="n">
        <v>3</v>
      </c>
      <c r="E103" s="16" t="n">
        <v>11</v>
      </c>
      <c r="F103" s="16" t="n">
        <f aca="false">E103-D103</f>
        <v>8</v>
      </c>
    </row>
    <row r="104" customFormat="false" ht="15" hidden="false" customHeight="false" outlineLevel="0" collapsed="false">
      <c r="A104" s="4" t="s">
        <v>64</v>
      </c>
      <c r="B104" s="4" t="s">
        <v>33</v>
      </c>
      <c r="C104" s="4" t="n">
        <v>1000</v>
      </c>
      <c r="D104" s="16" t="n">
        <v>2</v>
      </c>
      <c r="E104" s="16" t="n">
        <v>7</v>
      </c>
      <c r="F104" s="16" t="n">
        <f aca="false">E104-D104</f>
        <v>5</v>
      </c>
    </row>
    <row r="105" customFormat="false" ht="15" hidden="false" customHeight="false" outlineLevel="0" collapsed="false">
      <c r="A105" s="4" t="s">
        <v>77</v>
      </c>
      <c r="B105" s="4" t="s">
        <v>33</v>
      </c>
      <c r="C105" s="4" t="n">
        <v>1000</v>
      </c>
      <c r="D105" s="16" t="n">
        <v>1</v>
      </c>
      <c r="E105" s="16" t="n">
        <v>9</v>
      </c>
      <c r="F105" s="16" t="n">
        <f aca="false">E105-D105</f>
        <v>8</v>
      </c>
    </row>
    <row r="106" customFormat="false" ht="15" hidden="false" customHeight="false" outlineLevel="0" collapsed="false">
      <c r="A106" s="4" t="s">
        <v>79</v>
      </c>
      <c r="B106" s="4" t="s">
        <v>29</v>
      </c>
      <c r="C106" s="4" t="n">
        <v>1000</v>
      </c>
      <c r="D106" s="16" t="n">
        <v>0</v>
      </c>
      <c r="E106" s="16" t="n">
        <v>4</v>
      </c>
      <c r="F106" s="16" t="n">
        <f aca="false">E106-D106</f>
        <v>4</v>
      </c>
    </row>
    <row r="107" customFormat="false" ht="15" hidden="false" customHeight="false" outlineLevel="0" collapsed="false">
      <c r="A107" s="4" t="s">
        <v>80</v>
      </c>
      <c r="B107" s="4" t="s">
        <v>29</v>
      </c>
      <c r="C107" s="4" t="n">
        <v>400</v>
      </c>
      <c r="D107" s="16" t="n">
        <v>1</v>
      </c>
      <c r="E107" s="16" t="n">
        <v>9</v>
      </c>
      <c r="F107" s="16" t="n">
        <f aca="false">E107-D107</f>
        <v>8</v>
      </c>
    </row>
    <row r="108" customFormat="false" ht="15" hidden="false" customHeight="false" outlineLevel="0" collapsed="false">
      <c r="A108" s="4" t="s">
        <v>80</v>
      </c>
      <c r="B108" s="4" t="s">
        <v>33</v>
      </c>
      <c r="C108" s="4" t="n">
        <v>100</v>
      </c>
      <c r="D108" s="16" t="n">
        <v>0</v>
      </c>
      <c r="E108" s="16" t="n">
        <v>9</v>
      </c>
      <c r="F108" s="16" t="n">
        <f aca="false">E108-D108</f>
        <v>9</v>
      </c>
    </row>
    <row r="109" customFormat="false" ht="15" hidden="false" customHeight="false" outlineLevel="0" collapsed="false">
      <c r="A109" s="4" t="s">
        <v>80</v>
      </c>
      <c r="B109" s="4" t="s">
        <v>33</v>
      </c>
      <c r="C109" s="4" t="n">
        <v>500</v>
      </c>
      <c r="D109" s="16" t="n">
        <v>0</v>
      </c>
      <c r="E109" s="16" t="n">
        <v>9</v>
      </c>
      <c r="F109" s="16" t="n">
        <f aca="false">E109-D109</f>
        <v>9</v>
      </c>
    </row>
    <row r="110" customFormat="false" ht="15" hidden="false" customHeight="false" outlineLevel="0" collapsed="false">
      <c r="A110" s="4" t="s">
        <v>65</v>
      </c>
      <c r="B110" s="4" t="s">
        <v>29</v>
      </c>
      <c r="C110" s="4" t="n">
        <v>1000</v>
      </c>
      <c r="D110" s="16" t="n">
        <v>1</v>
      </c>
      <c r="E110" s="16" t="n">
        <v>9</v>
      </c>
      <c r="F110" s="16" t="n">
        <f aca="false">E110-D110</f>
        <v>8</v>
      </c>
    </row>
    <row r="111" customFormat="false" ht="15" hidden="false" customHeight="false" outlineLevel="0" collapsed="false">
      <c r="A111" s="4" t="s">
        <v>65</v>
      </c>
      <c r="B111" s="4" t="s">
        <v>33</v>
      </c>
      <c r="C111" s="4" t="n">
        <v>500</v>
      </c>
      <c r="D111" s="16" t="n">
        <v>0</v>
      </c>
      <c r="E111" s="16" t="n">
        <v>1</v>
      </c>
      <c r="F111" s="16" t="n">
        <f aca="false">E111-D111</f>
        <v>1</v>
      </c>
    </row>
    <row r="112" customFormat="false" ht="15" hidden="false" customHeight="false" outlineLevel="0" collapsed="false">
      <c r="A112" s="4" t="s">
        <v>82</v>
      </c>
      <c r="B112" s="4" t="s">
        <v>29</v>
      </c>
      <c r="C112" s="4" t="n">
        <v>400</v>
      </c>
      <c r="D112" s="16" t="n">
        <v>0</v>
      </c>
      <c r="E112" s="16" t="n">
        <v>1</v>
      </c>
      <c r="F112" s="16" t="n">
        <f aca="false">E112-D112</f>
        <v>1</v>
      </c>
    </row>
    <row r="113" customFormat="false" ht="15" hidden="false" customHeight="false" outlineLevel="0" collapsed="false">
      <c r="A113" s="4" t="s">
        <v>82</v>
      </c>
      <c r="B113" s="4" t="s">
        <v>33</v>
      </c>
      <c r="C113" s="4" t="n">
        <v>500</v>
      </c>
      <c r="D113" s="16" t="n">
        <v>1</v>
      </c>
      <c r="E113" s="16" t="n">
        <v>10</v>
      </c>
      <c r="F113" s="16" t="n">
        <f aca="false">E113-D113</f>
        <v>9</v>
      </c>
    </row>
    <row r="114" customFormat="false" ht="15" hidden="false" customHeight="false" outlineLevel="0" collapsed="false">
      <c r="A114" s="4" t="s">
        <v>83</v>
      </c>
      <c r="B114" s="4" t="s">
        <v>29</v>
      </c>
      <c r="C114" s="4" t="n">
        <v>200</v>
      </c>
      <c r="D114" s="16" t="n">
        <v>0</v>
      </c>
      <c r="E114" s="16" t="n">
        <v>2</v>
      </c>
      <c r="F114" s="16" t="n">
        <f aca="false">E114-D114</f>
        <v>2</v>
      </c>
    </row>
    <row r="115" customFormat="false" ht="15" hidden="false" customHeight="false" outlineLevel="0" collapsed="false">
      <c r="A115" s="4" t="s">
        <v>83</v>
      </c>
      <c r="B115" s="4" t="s">
        <v>29</v>
      </c>
      <c r="C115" s="4" t="n">
        <v>400</v>
      </c>
      <c r="D115" s="16" t="n">
        <v>0</v>
      </c>
      <c r="E115" s="16" t="n">
        <v>11</v>
      </c>
      <c r="F115" s="16" t="n">
        <f aca="false">E115-D115</f>
        <v>11</v>
      </c>
    </row>
    <row r="116" customFormat="false" ht="15" hidden="false" customHeight="false" outlineLevel="0" collapsed="false">
      <c r="A116" s="4" t="s">
        <v>83</v>
      </c>
      <c r="B116" s="4" t="s">
        <v>29</v>
      </c>
      <c r="C116" s="4" t="n">
        <v>1000</v>
      </c>
      <c r="D116" s="16" t="n">
        <v>0</v>
      </c>
      <c r="E116" s="16" t="n">
        <v>4</v>
      </c>
      <c r="F116" s="16" t="n">
        <f aca="false">E116-D116</f>
        <v>4</v>
      </c>
    </row>
    <row r="117" customFormat="false" ht="15" hidden="false" customHeight="false" outlineLevel="0" collapsed="false">
      <c r="A117" s="4" t="s">
        <v>83</v>
      </c>
      <c r="B117" s="4" t="s">
        <v>33</v>
      </c>
      <c r="C117" s="4" t="n">
        <v>100</v>
      </c>
      <c r="D117" s="16" t="n">
        <v>0</v>
      </c>
      <c r="E117" s="16" t="n">
        <v>4</v>
      </c>
      <c r="F117" s="16" t="n">
        <f aca="false">E117-D117</f>
        <v>4</v>
      </c>
    </row>
    <row r="118" customFormat="false" ht="15" hidden="false" customHeight="false" outlineLevel="0" collapsed="false">
      <c r="A118" s="4" t="s">
        <v>83</v>
      </c>
      <c r="B118" s="4" t="s">
        <v>33</v>
      </c>
      <c r="C118" s="4" t="n">
        <v>500</v>
      </c>
      <c r="D118" s="16" t="n">
        <v>0</v>
      </c>
      <c r="E118" s="16" t="n">
        <v>24</v>
      </c>
      <c r="F118" s="16" t="n">
        <f aca="false">E118-D118</f>
        <v>24</v>
      </c>
    </row>
    <row r="119" customFormat="false" ht="15" hidden="false" customHeight="false" outlineLevel="0" collapsed="false">
      <c r="A119" s="4" t="s">
        <v>84</v>
      </c>
      <c r="B119" s="4" t="s">
        <v>29</v>
      </c>
      <c r="C119" s="4" t="n">
        <v>160</v>
      </c>
      <c r="D119" s="16" t="n">
        <v>0</v>
      </c>
      <c r="E119" s="16" t="n">
        <v>24</v>
      </c>
      <c r="F119" s="16" t="n">
        <f aca="false">E119-D119</f>
        <v>24</v>
      </c>
    </row>
    <row r="120" customFormat="false" ht="15" hidden="false" customHeight="false" outlineLevel="0" collapsed="false">
      <c r="A120" s="4" t="s">
        <v>84</v>
      </c>
      <c r="B120" s="4" t="s">
        <v>29</v>
      </c>
      <c r="C120" s="4" t="n">
        <v>400</v>
      </c>
      <c r="D120" s="16" t="n">
        <v>6</v>
      </c>
      <c r="E120" s="16" t="n">
        <v>24</v>
      </c>
      <c r="F120" s="16" t="n">
        <f aca="false">E120-D120</f>
        <v>18</v>
      </c>
    </row>
    <row r="121" customFormat="false" ht="15" hidden="false" customHeight="false" outlineLevel="0" collapsed="false">
      <c r="A121" s="4" t="s">
        <v>84</v>
      </c>
      <c r="B121" s="4" t="s">
        <v>29</v>
      </c>
      <c r="C121" s="4" t="n">
        <v>1000</v>
      </c>
      <c r="D121" s="16" t="n">
        <v>5</v>
      </c>
      <c r="E121" s="16" t="n">
        <v>20</v>
      </c>
      <c r="F121" s="16" t="n">
        <f aca="false">E121-D121</f>
        <v>15</v>
      </c>
    </row>
    <row r="122" customFormat="false" ht="15" hidden="false" customHeight="false" outlineLevel="0" collapsed="false">
      <c r="A122" s="4" t="s">
        <v>84</v>
      </c>
      <c r="B122" s="4" t="s">
        <v>33</v>
      </c>
      <c r="C122" s="4" t="n">
        <v>100</v>
      </c>
      <c r="D122" s="16" t="n">
        <v>0</v>
      </c>
      <c r="E122" s="16" t="n">
        <v>12</v>
      </c>
      <c r="F122" s="16" t="n">
        <f aca="false">E122-D122</f>
        <v>12</v>
      </c>
    </row>
    <row r="123" customFormat="false" ht="15" hidden="false" customHeight="false" outlineLevel="0" collapsed="false">
      <c r="A123" s="4" t="s">
        <v>84</v>
      </c>
      <c r="B123" s="4" t="s">
        <v>33</v>
      </c>
      <c r="C123" s="4" t="n">
        <v>500</v>
      </c>
      <c r="D123" s="16" t="n">
        <v>1</v>
      </c>
      <c r="E123" s="16" t="n">
        <v>40</v>
      </c>
      <c r="F123" s="16" t="n">
        <f aca="false">E123-D123</f>
        <v>39</v>
      </c>
    </row>
    <row r="124" customFormat="false" ht="15" hidden="false" customHeight="false" outlineLevel="0" collapsed="false">
      <c r="A124" s="4" t="s">
        <v>86</v>
      </c>
      <c r="B124" s="4" t="s">
        <v>29</v>
      </c>
      <c r="C124" s="4" t="n">
        <v>400</v>
      </c>
      <c r="D124" s="16" t="n">
        <v>0</v>
      </c>
      <c r="E124" s="16" t="n">
        <v>101</v>
      </c>
      <c r="F124" s="16" t="n">
        <f aca="false">E124-D124</f>
        <v>101</v>
      </c>
    </row>
    <row r="125" customFormat="false" ht="15" hidden="false" customHeight="false" outlineLevel="0" collapsed="false">
      <c r="A125" s="4" t="s">
        <v>86</v>
      </c>
      <c r="B125" s="4" t="s">
        <v>33</v>
      </c>
      <c r="C125" s="4" t="n">
        <v>500</v>
      </c>
      <c r="D125" s="16" t="n">
        <v>0</v>
      </c>
      <c r="E125" s="16" t="n">
        <v>10</v>
      </c>
      <c r="F125" s="16" t="n">
        <f aca="false">E125-D125</f>
        <v>10</v>
      </c>
    </row>
    <row r="126" customFormat="false" ht="15" hidden="false" customHeight="false" outlineLevel="0" collapsed="false">
      <c r="A126" s="4" t="s">
        <v>87</v>
      </c>
      <c r="B126" s="4" t="s">
        <v>29</v>
      </c>
      <c r="C126" s="4" t="n">
        <v>400</v>
      </c>
      <c r="D126" s="16" t="n">
        <v>0</v>
      </c>
      <c r="E126" s="16" t="n">
        <v>2</v>
      </c>
      <c r="F126" s="16" t="n">
        <f aca="false">E126-D126</f>
        <v>2</v>
      </c>
    </row>
    <row r="127" customFormat="false" ht="15" hidden="false" customHeight="false" outlineLevel="0" collapsed="false">
      <c r="A127" s="4" t="s">
        <v>87</v>
      </c>
      <c r="B127" s="4" t="s">
        <v>33</v>
      </c>
      <c r="C127" s="4" t="n">
        <v>100</v>
      </c>
      <c r="D127" s="16" t="n">
        <v>0</v>
      </c>
      <c r="E127" s="16" t="n">
        <v>2</v>
      </c>
      <c r="F127" s="16" t="n">
        <f aca="false">E127-D127</f>
        <v>2</v>
      </c>
    </row>
    <row r="128" customFormat="false" ht="15" hidden="false" customHeight="false" outlineLevel="0" collapsed="false">
      <c r="A128" s="4" t="s">
        <v>90</v>
      </c>
      <c r="B128" s="4" t="s">
        <v>29</v>
      </c>
      <c r="C128" s="4" t="n">
        <v>400</v>
      </c>
      <c r="D128" s="16" t="n">
        <v>0</v>
      </c>
      <c r="E128" s="16" t="n">
        <v>63</v>
      </c>
      <c r="F128" s="16" t="n">
        <f aca="false">E128-D128</f>
        <v>63</v>
      </c>
    </row>
    <row r="129" customFormat="false" ht="15" hidden="false" customHeight="false" outlineLevel="0" collapsed="false">
      <c r="A129" s="4" t="s">
        <v>90</v>
      </c>
      <c r="B129" s="4" t="s">
        <v>33</v>
      </c>
      <c r="C129" s="4" t="n">
        <v>100</v>
      </c>
      <c r="D129" s="16" t="n">
        <v>0</v>
      </c>
      <c r="E129" s="16" t="n">
        <v>48</v>
      </c>
      <c r="F129" s="16" t="n">
        <f aca="false">E129-D129</f>
        <v>48</v>
      </c>
    </row>
    <row r="130" customFormat="false" ht="15" hidden="false" customHeight="false" outlineLevel="0" collapsed="false">
      <c r="A130" s="9" t="s">
        <v>111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2026-10-26T18:12:22Z</dcterms:created>
  <dc:creator>openpyxl</dc:creator>
  <dc:description/>
  <dc:language>en-US</dc:language>
  <cp:lastModifiedBy/>
  <dcterms:modified xsi:type="dcterms:W3CDTF">2026-10-26T18:12:22Z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